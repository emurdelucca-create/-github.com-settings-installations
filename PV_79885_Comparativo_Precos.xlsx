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o" sheetId="1" state="visible" r:id="rId3"/>
  </sheets>
  <definedNames>
    <definedName function="false" hidden="true" localSheetId="0" name="_xlnm._FilterDatabase" vbProcedure="false">Comparativo!$A$1:$K$77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<sst xmlns="http://schemas.openxmlformats.org/spreadsheetml/2006/main" count="165" uniqueCount="165">
  <si>
    <t xml:space="preserve">Código</t>
  </si>
  <si>
    <t xml:space="preserve">Descrição</t>
  </si>
  <si>
    <t xml:space="preserve">Qtd Objetivo</t>
  </si>
  <si>
    <t xml:space="preserve">Qtd Ajustado</t>
  </si>
  <si>
    <t xml:space="preserve">Preço Unit. Objetivo</t>
  </si>
  <si>
    <t xml:space="preserve">Preço Unit. Ajustado</t>
  </si>
  <si>
    <t xml:space="preserve">Diferença Unit. (Ajustado - Objetivo)</t>
  </si>
  <si>
    <t xml:space="preserve">% Aumento</t>
  </si>
  <si>
    <t xml:space="preserve">Total Objetivo</t>
  </si>
  <si>
    <t xml:space="preserve">Total Ajustado</t>
  </si>
  <si>
    <t xml:space="preserve">Diferença Total</t>
  </si>
  <si>
    <t xml:space="preserve">00046</t>
  </si>
  <si>
    <t xml:space="preserve">BLOCO ÓPTICO BIZ C-100 C/ PISCAS AMARELO</t>
  </si>
  <si>
    <t xml:space="preserve">00059</t>
  </si>
  <si>
    <t xml:space="preserve">BLOCO BIZ 100/ 125 2011-2017</t>
  </si>
  <si>
    <t xml:space="preserve">00060</t>
  </si>
  <si>
    <t xml:space="preserve">BLOCO BIZ 125 2006 - 2010</t>
  </si>
  <si>
    <t xml:space="preserve">00061</t>
  </si>
  <si>
    <t xml:space="preserve">BLOCO OPT CG125/150/160 FAN/TITAN CG160 14-22</t>
  </si>
  <si>
    <t xml:space="preserve">00062</t>
  </si>
  <si>
    <t xml:space="preserve">BLOCO ÓPT XRE 300</t>
  </si>
  <si>
    <t xml:space="preserve">00066</t>
  </si>
  <si>
    <t xml:space="preserve">BLOCO ÓPTICO CB 300 09/15</t>
  </si>
  <si>
    <t xml:space="preserve">00073</t>
  </si>
  <si>
    <t xml:space="preserve">BLOCO ÓPTICO FAZER 250 - 2011</t>
  </si>
  <si>
    <t xml:space="preserve">00078</t>
  </si>
  <si>
    <t xml:space="preserve">BLOCO OPTICO FACTOR 150 - 2016</t>
  </si>
  <si>
    <t xml:space="preserve">00079</t>
  </si>
  <si>
    <t xml:space="preserve">BLOCO OPTICO FAZER 150 - 2014</t>
  </si>
  <si>
    <t xml:space="preserve">00082</t>
  </si>
  <si>
    <t xml:space="preserve">FAROL COMP. CG 125 00-08 ARO ABS NATURAL - CROMADO</t>
  </si>
  <si>
    <t xml:space="preserve">00083</t>
  </si>
  <si>
    <t xml:space="preserve">FAROL COMP. CG 150 00-13 ARO ABS NATURAL - CROMADO</t>
  </si>
  <si>
    <t xml:space="preserve">00084</t>
  </si>
  <si>
    <t xml:space="preserve">FAROL COMP TWISTER 06/07 ARO ABS NATURAL - CROMADO</t>
  </si>
  <si>
    <t xml:space="preserve">00085</t>
  </si>
  <si>
    <t xml:space="preserve">FAROL COMPLETO CG125 99</t>
  </si>
  <si>
    <t xml:space="preserve">00086</t>
  </si>
  <si>
    <t xml:space="preserve">FAROL COMP. CG 125 00-08 ARO POLICARBONATO PRETO</t>
  </si>
  <si>
    <t xml:space="preserve">00087</t>
  </si>
  <si>
    <t xml:space="preserve">FAROL COMP. CG 150 00-13 ARO POLICARBONATO PRETO</t>
  </si>
  <si>
    <t xml:space="preserve">00089</t>
  </si>
  <si>
    <t xml:space="preserve">FAROL COMPLETO YBR / FACTOR / FAZER TODOS OS ANOS</t>
  </si>
  <si>
    <t xml:space="preserve">00095</t>
  </si>
  <si>
    <t xml:space="preserve">FAROL COMPLETO SUZUKI YES 125</t>
  </si>
  <si>
    <t xml:space="preserve">00125</t>
  </si>
  <si>
    <t xml:space="preserve">FAROL COMPL. TITAN 150 14-15 / 160 FAN 16-21 PRETO</t>
  </si>
  <si>
    <t xml:space="preserve">00126</t>
  </si>
  <si>
    <t xml:space="preserve">FAROL COMPL. TITAN 150 14-15 /160 FAN 16-21 BRANCO</t>
  </si>
  <si>
    <t xml:space="preserve">00127</t>
  </si>
  <si>
    <t xml:space="preserve">FAROL COMPL TITAN 150-14/15-FAN 160 16/21 V GUARAU</t>
  </si>
  <si>
    <t xml:space="preserve">00128</t>
  </si>
  <si>
    <t xml:space="preserve">FAROL COMPL TITAN 150-14/15-FAN 160 16/21 AZUL MET</t>
  </si>
  <si>
    <t xml:space="preserve">00129</t>
  </si>
  <si>
    <t xml:space="preserve">FAROL COMPL TITAN 150-14/15-FAN 160 16/21 AMA MET</t>
  </si>
  <si>
    <t xml:space="preserve">02161</t>
  </si>
  <si>
    <t xml:space="preserve">ASA EXT+INT TANQ LD/LE TT160 22/24 AZ CARAIVA</t>
  </si>
  <si>
    <t xml:space="preserve">02162</t>
  </si>
  <si>
    <t xml:space="preserve">ASA EXT+INT TANQ LD/LE TT160 22/24 AZ TWISTER</t>
  </si>
  <si>
    <t xml:space="preserve">02163</t>
  </si>
  <si>
    <t xml:space="preserve">ASA EXT+INT TANQ LD/LE TT160 22/24 BRC ROSSS</t>
  </si>
  <si>
    <t xml:space="preserve">02164</t>
  </si>
  <si>
    <t xml:space="preserve">ASA EXT+INT TANQ LD/LE TT160 22/24 PRATA IBIU</t>
  </si>
  <si>
    <t xml:space="preserve">02165</t>
  </si>
  <si>
    <t xml:space="preserve">ASA EXT+INT TANQ LD/LE TT160 22/24 PRETO</t>
  </si>
  <si>
    <t xml:space="preserve">02166</t>
  </si>
  <si>
    <t xml:space="preserve">ASA EXT+INT TANQ LD/LE TT160 22/24 BRC ANDES</t>
  </si>
  <si>
    <t xml:space="preserve">02167</t>
  </si>
  <si>
    <t xml:space="preserve">ASA EXT+INT TANQ LD/LE TT160 22/24 VM GUARAÚ</t>
  </si>
  <si>
    <t xml:space="preserve">02168</t>
  </si>
  <si>
    <t xml:space="preserve">ASA EXT+INT TANQ LD/LE TT160 22/24 VM MACEIÓ</t>
  </si>
  <si>
    <t xml:space="preserve">02170</t>
  </si>
  <si>
    <t xml:space="preserve">ASA EXT+INT TANQ LD/LE TT160 22/24 VM PIMENTA</t>
  </si>
  <si>
    <t xml:space="preserve">02171</t>
  </si>
  <si>
    <t xml:space="preserve">ASA EXT+INT TANQ LD/LE TT160 22/24 PRATA FORÇE</t>
  </si>
  <si>
    <t xml:space="preserve">02204</t>
  </si>
  <si>
    <t xml:space="preserve">LANT. TRAS. COMP. BIZ/POP 100 VERM C/ FIAÇÃO</t>
  </si>
  <si>
    <t xml:space="preserve">03400</t>
  </si>
  <si>
    <t xml:space="preserve">PARALAMA DIANTEIRO TITAN/FAN 150/160 14/24 PT INJ</t>
  </si>
  <si>
    <t xml:space="preserve">03420</t>
  </si>
  <si>
    <t xml:space="preserve">PARALAMA DIANT CG 150/CG 160 14-17 INJ BRANCO</t>
  </si>
  <si>
    <t xml:space="preserve">03423</t>
  </si>
  <si>
    <t xml:space="preserve">PARALAMA DIANT CG 160 2022 INJ VERM MARRAKESH</t>
  </si>
  <si>
    <t xml:space="preserve">03425</t>
  </si>
  <si>
    <t xml:space="preserve">PARALAMA DIANT CG 150 2014 AZUL TWISTER PEROLIZADO</t>
  </si>
  <si>
    <t xml:space="preserve">03426</t>
  </si>
  <si>
    <t xml:space="preserve">PARALAMA DIANT. TITAN/FAN 150/160 2024 VM PIMENTA</t>
  </si>
  <si>
    <t xml:space="preserve">03428</t>
  </si>
  <si>
    <t xml:space="preserve">PARALAMA DIANT. FAN 160 CINZA METALICO</t>
  </si>
  <si>
    <t xml:space="preserve">03430</t>
  </si>
  <si>
    <t xml:space="preserve">PARALAMA DIANT. FAN 160 2022 AZUL CARAIVA</t>
  </si>
  <si>
    <t xml:space="preserve">03432</t>
  </si>
  <si>
    <t xml:space="preserve">PARALAMA DIANT. FAN 160 2022 PRATA FORÇE</t>
  </si>
  <si>
    <t xml:space="preserve">03446</t>
  </si>
  <si>
    <t xml:space="preserve">PARAL DIANT A+B TITAN FAN START CARGO 160 25 PRETO</t>
  </si>
  <si>
    <t xml:space="preserve">03447</t>
  </si>
  <si>
    <t xml:space="preserve">PARAL DIANT A+B FAN START CARGO 160 25 AZUL SPENCE</t>
  </si>
  <si>
    <t xml:space="preserve">03462</t>
  </si>
  <si>
    <t xml:space="preserve">PARALAMA DIANT. A+B TITAN 2014-2024 VERM MARRAKESH</t>
  </si>
  <si>
    <t xml:space="preserve">03465</t>
  </si>
  <si>
    <t xml:space="preserve">PARALAMA DIANT. A+B TITAN 2014-2024 AZUL TWISTER</t>
  </si>
  <si>
    <t xml:space="preserve">03467</t>
  </si>
  <si>
    <t xml:space="preserve">PARALAMA DIANT. A+B TITAN 2014-2024 CINZA METALICO</t>
  </si>
  <si>
    <t xml:space="preserve">03468</t>
  </si>
  <si>
    <t xml:space="preserve">PARALAMA DIANT. A+B TITAN 2014-2024 PRATA IBIUNA</t>
  </si>
  <si>
    <t xml:space="preserve">04030</t>
  </si>
  <si>
    <t xml:space="preserve">PISCA BIZ 125 - DIANTEIRO ESQ/DIR - 2006/2010 PAR</t>
  </si>
  <si>
    <t xml:space="preserve">04202</t>
  </si>
  <si>
    <t xml:space="preserve">PISCA CG 150 TITAN/FAN 14 DD/TE CRISTAL C/ LAMPADA</t>
  </si>
  <si>
    <t xml:space="preserve">04203</t>
  </si>
  <si>
    <t xml:space="preserve">PISCA CG 150 TITAN/FAN 14 DE/TD CRISTAL C/ LAMPADA</t>
  </si>
  <si>
    <t xml:space="preserve">04407</t>
  </si>
  <si>
    <t xml:space="preserve">FAROL COMP + ARANHA TITAN 160 22/23-AMARELO CAJU</t>
  </si>
  <si>
    <t xml:space="preserve">04408</t>
  </si>
  <si>
    <t xml:space="preserve">FAROL COMP+ARANHA TITAN 160 22/23-AZUL TWISTER MET</t>
  </si>
  <si>
    <t xml:space="preserve">04409</t>
  </si>
  <si>
    <t xml:space="preserve">FAROL COMP+ARANHA TITAN 160 22/23-VERM MARRAKESH</t>
  </si>
  <si>
    <t xml:space="preserve">04410</t>
  </si>
  <si>
    <t xml:space="preserve">FAROL COMP + ARANHA TITAN 160 22/23 - PRETO</t>
  </si>
  <si>
    <t xml:space="preserve">04411</t>
  </si>
  <si>
    <t xml:space="preserve">FAROL COMP + ARANHA TITAN 160 22/24- PRATA FORÇE</t>
  </si>
  <si>
    <t xml:space="preserve">04412</t>
  </si>
  <si>
    <t xml:space="preserve">FAROL COMP + ARANHA TITAN 160 22/24- BRANCO ANDES</t>
  </si>
  <si>
    <t xml:space="preserve">04413</t>
  </si>
  <si>
    <t xml:space="preserve">FAROL COMP + ARANHA TITAN 160 22/24- AZUL CARAÍVA</t>
  </si>
  <si>
    <t xml:space="preserve">04428</t>
  </si>
  <si>
    <t xml:space="preserve">FAROL COMP+ARANHA TT150 14-15/ FAN160 16-21 PRETO</t>
  </si>
  <si>
    <t xml:space="preserve">04429</t>
  </si>
  <si>
    <t xml:space="preserve">FAROL COMP+ARANHA TT150 14-15/FAN160 16-21V GUARAÚ</t>
  </si>
  <si>
    <t xml:space="preserve">04430</t>
  </si>
  <si>
    <t xml:space="preserve">FAROL COMP+ARANHA TT150 14-15/FAN160 16-21 BRANCO</t>
  </si>
  <si>
    <t xml:space="preserve">05853</t>
  </si>
  <si>
    <t xml:space="preserve">RABETA COMP FAN 160/START 160 16/22 (3PÇ) - VM GUA</t>
  </si>
  <si>
    <t xml:space="preserve">05854</t>
  </si>
  <si>
    <t xml:space="preserve">RABETA COMP FAN 160/START 160 16/23 (3PÇ) VM MAR</t>
  </si>
  <si>
    <t xml:space="preserve">05855</t>
  </si>
  <si>
    <t xml:space="preserve">RABETA COMPL FAN 160/START 160 - 16/22 (3PÇ) AZUL</t>
  </si>
  <si>
    <t xml:space="preserve">05857</t>
  </si>
  <si>
    <t xml:space="preserve">RABETA COMPL FAN 160/START 160 16/22 (3PÇ) PRET</t>
  </si>
  <si>
    <t xml:space="preserve">06045</t>
  </si>
  <si>
    <t xml:space="preserve">ROLDANA ACEL. CG CARGO/CG TODAY (C/10 PÇ)</t>
  </si>
  <si>
    <t xml:space="preserve">22208</t>
  </si>
  <si>
    <t xml:space="preserve">LANTERNA TRAS.COMP. TITAN 150 VERMELHA COM FIAÇÃO</t>
  </si>
  <si>
    <t xml:space="preserve">22331</t>
  </si>
  <si>
    <t xml:space="preserve">LANT TRAS XL /XLS/ TODAY - TITAN 99 COM FIAÇÃO</t>
  </si>
  <si>
    <t xml:space="preserve">25010</t>
  </si>
  <si>
    <t xml:space="preserve">KIT FAROL+LANTERNA+PISCAS AMARELO BIZ 100 98/05</t>
  </si>
  <si>
    <t xml:space="preserve">25017</t>
  </si>
  <si>
    <t xml:space="preserve">KIT 4 PISCA CB 600 HORNET 08/14 - COM LÂMPADA</t>
  </si>
  <si>
    <t xml:space="preserve">25024</t>
  </si>
  <si>
    <t xml:space="preserve">PAR PISCA DIANTEIRO BIZ 100/110/125 11/17 CRISTAL</t>
  </si>
  <si>
    <t xml:space="preserve">25037</t>
  </si>
  <si>
    <t xml:space="preserve">KIT4 PISCA TT 00 UNIVERSAL C/COXIM C/LAMP CRIS ESC</t>
  </si>
  <si>
    <t xml:space="preserve">25038</t>
  </si>
  <si>
    <t xml:space="preserve">KIT4 PISCA TT 00 UNIVERSAL C/COXIM C/LAMP AMARELO</t>
  </si>
  <si>
    <t xml:space="preserve">25039</t>
  </si>
  <si>
    <t xml:space="preserve">KIT4PISCA BROS NXR150/160 14/25 XRE190 CRIS C/LAMP</t>
  </si>
  <si>
    <t xml:space="preserve">25040</t>
  </si>
  <si>
    <t xml:space="preserve">KIT4PISCA MINI ADAP CG125 00-08 DD/TE CRIS C/LAMP</t>
  </si>
  <si>
    <t xml:space="preserve">25041</t>
  </si>
  <si>
    <t xml:space="preserve">KIT4 PISCA CG 150 TITAN/FAN 14 LD+LE CRIS C/ LAMP</t>
  </si>
  <si>
    <t xml:space="preserve">25042</t>
  </si>
  <si>
    <t xml:space="preserve">KIT 4 PISCA TODAY TITAN 83/99 C/CHAPA CRISTAL</t>
  </si>
  <si>
    <t xml:space="preserve">TOTAL</t>
  </si>
  <si>
    <t xml:space="preserve">Obs.: % Aumento = (Ajustado - Objetivo) / Objetivo x 100 (valor em pontos percentuais, sem símbolo). Itens em apenas um orçamento têm as colunas do outro em branco. Valores sem símbolo de moeda.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</si>
</sst>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11" min="9" style="0" width="15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3" t="n">
        <v>1380</v>
      </c>
      <c r="D2" s="3" t="n">
        <v>1380</v>
      </c>
      <c r="E2" s="4" t="n">
        <v>20.99</v>
      </c>
      <c r="F2" s="4" t="n">
        <v>20.99</v>
      </c>
      <c r="G2" s="4" t="n">
        <f aca="false">IF(AND(ISNUMBER(E2),ISNUMBER(F2)),F2-E2,"")</f>
        <v>0</v>
      </c>
      <c r="H2" s="5" t="n">
        <f aca="false">IF(AND(ISNUMBER(E2),ISNUMBER(F2)),IF(E2=0,"",(F2-E2)/E2*100),"")</f>
        <v>0</v>
      </c>
      <c r="I2" s="4" t="n">
        <f aca="false">IF(ISNUMBER(E2),C2*E2,"")</f>
        <v>28966.2</v>
      </c>
      <c r="J2" s="4" t="n">
        <f aca="false">IF(ISNUMBER(F2),D2*F2,"")</f>
        <v>28966.2</v>
      </c>
      <c r="K2" s="4" t="n">
        <f aca="false">IF(AND(ISNUMBER(I2),ISNUMBER(J2)),J2-I2,"")</f>
        <v>0</v>
      </c>
    </row>
    <row r="3" customFormat="false" ht="15" hidden="false" customHeight="false" outlineLevel="0" collapsed="false">
      <c r="A3" s="2" t="s">
        <v>13</v>
      </c>
      <c r="B3" s="2" t="s">
        <v>14</v>
      </c>
      <c r="C3" s="3" t="n">
        <v>40</v>
      </c>
      <c r="D3" s="3" t="n">
        <v>40</v>
      </c>
      <c r="E3" s="4" t="n">
        <v>15.99</v>
      </c>
      <c r="F3" s="4" t="n">
        <v>17.8</v>
      </c>
      <c r="G3" s="4" t="n">
        <f aca="false">IF(AND(ISNUMBER(E3),ISNUMBER(F3)),F3-E3,"")</f>
        <v>1.81</v>
      </c>
      <c r="H3" s="5" t="n">
        <f aca="false">IF(AND(ISNUMBER(E3),ISNUMBER(F3)),IF(E3=0,"",(F3-E3)/E3*100),"")</f>
        <v>11.3195747342089</v>
      </c>
      <c r="I3" s="4" t="n">
        <f aca="false">IF(ISNUMBER(E3),C3*E3,"")</f>
        <v>639.6</v>
      </c>
      <c r="J3" s="4" t="n">
        <f aca="false">IF(ISNUMBER(F3),D3*F3,"")</f>
        <v>712</v>
      </c>
      <c r="K3" s="4" t="n">
        <f aca="false">IF(AND(ISNUMBER(I3),ISNUMBER(J3)),J3-I3,"")</f>
        <v>72.4</v>
      </c>
    </row>
    <row r="4" customFormat="false" ht="15" hidden="false" customHeight="false" outlineLevel="0" collapsed="false">
      <c r="A4" s="2" t="s">
        <v>15</v>
      </c>
      <c r="B4" s="2" t="s">
        <v>16</v>
      </c>
      <c r="C4" s="3" t="n">
        <v>216</v>
      </c>
      <c r="D4" s="3" t="n">
        <v>216</v>
      </c>
      <c r="E4" s="4" t="n">
        <v>13</v>
      </c>
      <c r="F4" s="4" t="n">
        <v>14.3</v>
      </c>
      <c r="G4" s="4" t="n">
        <f aca="false">IF(AND(ISNUMBER(E4),ISNUMBER(F4)),F4-E4,"")</f>
        <v>1.3</v>
      </c>
      <c r="H4" s="5" t="n">
        <f aca="false">IF(AND(ISNUMBER(E4),ISNUMBER(F4)),IF(E4=0,"",(F4-E4)/E4*100),"")</f>
        <v>10</v>
      </c>
      <c r="I4" s="4" t="n">
        <f aca="false">IF(ISNUMBER(E4),C4*E4,"")</f>
        <v>2808</v>
      </c>
      <c r="J4" s="4" t="n">
        <f aca="false">IF(ISNUMBER(F4),D4*F4,"")</f>
        <v>3088.8</v>
      </c>
      <c r="K4" s="4" t="n">
        <f aca="false">IF(AND(ISNUMBER(I4),ISNUMBER(J4)),J4-I4,"")</f>
        <v>280.8</v>
      </c>
    </row>
    <row r="5" customFormat="false" ht="15" hidden="false" customHeight="false" outlineLevel="0" collapsed="false">
      <c r="A5" s="2" t="s">
        <v>17</v>
      </c>
      <c r="B5" s="2" t="s">
        <v>18</v>
      </c>
      <c r="C5" s="3" t="n">
        <v>45</v>
      </c>
      <c r="D5" s="3" t="n">
        <v>45</v>
      </c>
      <c r="E5" s="4" t="n">
        <v>17</v>
      </c>
      <c r="F5" s="4" t="n">
        <v>19</v>
      </c>
      <c r="G5" s="4" t="n">
        <f aca="false">IF(AND(ISNUMBER(E5),ISNUMBER(F5)),F5-E5,"")</f>
        <v>2</v>
      </c>
      <c r="H5" s="5" t="n">
        <f aca="false">IF(AND(ISNUMBER(E5),ISNUMBER(F5)),IF(E5=0,"",(F5-E5)/E5*100),"")</f>
        <v>11.7647058823529</v>
      </c>
      <c r="I5" s="4" t="n">
        <f aca="false">IF(ISNUMBER(E5),C5*E5,"")</f>
        <v>765</v>
      </c>
      <c r="J5" s="4" t="n">
        <f aca="false">IF(ISNUMBER(F5),D5*F5,"")</f>
        <v>855</v>
      </c>
      <c r="K5" s="4" t="n">
        <f aca="false">IF(AND(ISNUMBER(I5),ISNUMBER(J5)),J5-I5,"")</f>
        <v>90</v>
      </c>
    </row>
    <row r="6" customFormat="false" ht="15" hidden="false" customHeight="false" outlineLevel="0" collapsed="false">
      <c r="A6" s="2" t="s">
        <v>19</v>
      </c>
      <c r="B6" s="2" t="s">
        <v>20</v>
      </c>
      <c r="C6" s="3" t="n">
        <v>80</v>
      </c>
      <c r="D6" s="3" t="n">
        <v>80</v>
      </c>
      <c r="E6" s="4" t="n">
        <v>22.5</v>
      </c>
      <c r="F6" s="4" t="n">
        <v>22.5</v>
      </c>
      <c r="G6" s="4" t="n">
        <f aca="false">IF(AND(ISNUMBER(E6),ISNUMBER(F6)),F6-E6,"")</f>
        <v>0</v>
      </c>
      <c r="H6" s="5" t="n">
        <f aca="false">IF(AND(ISNUMBER(E6),ISNUMBER(F6)),IF(E6=0,"",(F6-E6)/E6*100),"")</f>
        <v>0</v>
      </c>
      <c r="I6" s="4" t="n">
        <f aca="false">IF(ISNUMBER(E6),C6*E6,"")</f>
        <v>1800</v>
      </c>
      <c r="J6" s="4" t="n">
        <f aca="false">IF(ISNUMBER(F6),D6*F6,"")</f>
        <v>1800</v>
      </c>
      <c r="K6" s="4" t="n">
        <f aca="false">IF(AND(ISNUMBER(I6),ISNUMBER(J6)),J6-I6,"")</f>
        <v>0</v>
      </c>
    </row>
    <row r="7" customFormat="false" ht="15" hidden="false" customHeight="false" outlineLevel="0" collapsed="false">
      <c r="A7" s="2" t="s">
        <v>21</v>
      </c>
      <c r="B7" s="2" t="s">
        <v>22</v>
      </c>
      <c r="C7" s="3" t="n">
        <v>660</v>
      </c>
      <c r="D7" s="3" t="n">
        <v>660</v>
      </c>
      <c r="E7" s="4" t="n">
        <v>23</v>
      </c>
      <c r="F7" s="4" t="n">
        <v>23</v>
      </c>
      <c r="G7" s="4" t="n">
        <f aca="false">IF(AND(ISNUMBER(E7),ISNUMBER(F7)),F7-E7,"")</f>
        <v>0</v>
      </c>
      <c r="H7" s="5" t="n">
        <f aca="false">IF(AND(ISNUMBER(E7),ISNUMBER(F7)),IF(E7=0,"",(F7-E7)/E7*100),"")</f>
        <v>0</v>
      </c>
      <c r="I7" s="4" t="n">
        <f aca="false">IF(ISNUMBER(E7),C7*E7,"")</f>
        <v>15180</v>
      </c>
      <c r="J7" s="4" t="n">
        <f aca="false">IF(ISNUMBER(F7),D7*F7,"")</f>
        <v>15180</v>
      </c>
      <c r="K7" s="4" t="n">
        <f aca="false">IF(AND(ISNUMBER(I7),ISNUMBER(J7)),J7-I7,"")</f>
        <v>0</v>
      </c>
    </row>
    <row r="8" customFormat="false" ht="15" hidden="false" customHeight="false" outlineLevel="0" collapsed="false">
      <c r="A8" s="2" t="s">
        <v>23</v>
      </c>
      <c r="B8" s="2" t="s">
        <v>24</v>
      </c>
      <c r="C8" s="3" t="n">
        <v>50</v>
      </c>
      <c r="D8" s="3" t="n">
        <v>50</v>
      </c>
      <c r="E8" s="4" t="n">
        <v>27.8</v>
      </c>
      <c r="F8" s="4" t="n">
        <v>27.8</v>
      </c>
      <c r="G8" s="4" t="n">
        <f aca="false">IF(AND(ISNUMBER(E8),ISNUMBER(F8)),F8-E8,"")</f>
        <v>0</v>
      </c>
      <c r="H8" s="5" t="n">
        <f aca="false">IF(AND(ISNUMBER(E8),ISNUMBER(F8)),IF(E8=0,"",(F8-E8)/E8*100),"")</f>
        <v>0</v>
      </c>
      <c r="I8" s="4" t="n">
        <f aca="false">IF(ISNUMBER(E8),C8*E8,"")</f>
        <v>1390</v>
      </c>
      <c r="J8" s="4" t="n">
        <f aca="false">IF(ISNUMBER(F8),D8*F8,"")</f>
        <v>1390</v>
      </c>
      <c r="K8" s="4" t="n">
        <f aca="false">IF(AND(ISNUMBER(I8),ISNUMBER(J8)),J8-I8,"")</f>
        <v>0</v>
      </c>
    </row>
    <row r="9" customFormat="false" ht="15" hidden="false" customHeight="false" outlineLevel="0" collapsed="false">
      <c r="A9" s="2" t="s">
        <v>25</v>
      </c>
      <c r="B9" s="2" t="s">
        <v>26</v>
      </c>
      <c r="C9" s="3" t="n">
        <v>40</v>
      </c>
      <c r="D9" s="3" t="n">
        <v>40</v>
      </c>
      <c r="E9" s="4" t="n">
        <v>24</v>
      </c>
      <c r="F9" s="4" t="n">
        <v>24</v>
      </c>
      <c r="G9" s="4" t="n">
        <f aca="false">IF(AND(ISNUMBER(E9),ISNUMBER(F9)),F9-E9,"")</f>
        <v>0</v>
      </c>
      <c r="H9" s="5" t="n">
        <f aca="false">IF(AND(ISNUMBER(E9),ISNUMBER(F9)),IF(E9=0,"",(F9-E9)/E9*100),"")</f>
        <v>0</v>
      </c>
      <c r="I9" s="4" t="n">
        <f aca="false">IF(ISNUMBER(E9),C9*E9,"")</f>
        <v>960</v>
      </c>
      <c r="J9" s="4" t="n">
        <f aca="false">IF(ISNUMBER(F9),D9*F9,"")</f>
        <v>960</v>
      </c>
      <c r="K9" s="4" t="n">
        <f aca="false">IF(AND(ISNUMBER(I9),ISNUMBER(J9)),J9-I9,"")</f>
        <v>0</v>
      </c>
    </row>
    <row r="10" customFormat="false" ht="15" hidden="false" customHeight="false" outlineLevel="0" collapsed="false">
      <c r="A10" s="2" t="s">
        <v>27</v>
      </c>
      <c r="B10" s="2" t="s">
        <v>28</v>
      </c>
      <c r="C10" s="3" t="n">
        <v>540</v>
      </c>
      <c r="D10" s="3" t="n">
        <v>540</v>
      </c>
      <c r="E10" s="4" t="n">
        <v>24.5</v>
      </c>
      <c r="F10" s="4" t="n">
        <v>24.5</v>
      </c>
      <c r="G10" s="4" t="n">
        <f aca="false">IF(AND(ISNUMBER(E10),ISNUMBER(F10)),F10-E10,"")</f>
        <v>0</v>
      </c>
      <c r="H10" s="5" t="n">
        <f aca="false">IF(AND(ISNUMBER(E10),ISNUMBER(F10)),IF(E10=0,"",(F10-E10)/E10*100),"")</f>
        <v>0</v>
      </c>
      <c r="I10" s="4" t="n">
        <f aca="false">IF(ISNUMBER(E10),C10*E10,"")</f>
        <v>13230</v>
      </c>
      <c r="J10" s="4" t="n">
        <f aca="false">IF(ISNUMBER(F10),D10*F10,"")</f>
        <v>13230</v>
      </c>
      <c r="K10" s="4" t="n">
        <f aca="false">IF(AND(ISNUMBER(I10),ISNUMBER(J10)),J10-I10,"")</f>
        <v>0</v>
      </c>
    </row>
    <row r="11" customFormat="false" ht="15" hidden="false" customHeight="false" outlineLevel="0" collapsed="false">
      <c r="A11" s="2" t="s">
        <v>29</v>
      </c>
      <c r="B11" s="2" t="s">
        <v>30</v>
      </c>
      <c r="C11" s="3" t="n">
        <v>40</v>
      </c>
      <c r="D11" s="3" t="n">
        <v>40</v>
      </c>
      <c r="E11" s="4" t="n">
        <v>19.5</v>
      </c>
      <c r="F11" s="4" t="n">
        <v>21.2</v>
      </c>
      <c r="G11" s="4" t="n">
        <f aca="false">IF(AND(ISNUMBER(E11),ISNUMBER(F11)),F11-E11,"")</f>
        <v>1.7</v>
      </c>
      <c r="H11" s="5" t="n">
        <f aca="false">IF(AND(ISNUMBER(E11),ISNUMBER(F11)),IF(E11=0,"",(F11-E11)/E11*100),"")</f>
        <v>8.71794871794872</v>
      </c>
      <c r="I11" s="4" t="n">
        <f aca="false">IF(ISNUMBER(E11),C11*E11,"")</f>
        <v>780</v>
      </c>
      <c r="J11" s="4" t="n">
        <f aca="false">IF(ISNUMBER(F11),D11*F11,"")</f>
        <v>848</v>
      </c>
      <c r="K11" s="4" t="n">
        <f aca="false">IF(AND(ISNUMBER(I11),ISNUMBER(J11)),J11-I11,"")</f>
        <v>68</v>
      </c>
    </row>
    <row r="12" customFormat="false" ht="15" hidden="false" customHeight="false" outlineLevel="0" collapsed="false">
      <c r="A12" s="2" t="s">
        <v>31</v>
      </c>
      <c r="B12" s="2" t="s">
        <v>32</v>
      </c>
      <c r="C12" s="3" t="n">
        <v>20</v>
      </c>
      <c r="D12" s="3" t="n">
        <v>20</v>
      </c>
      <c r="E12" s="4" t="n">
        <v>19.5</v>
      </c>
      <c r="F12" s="4" t="n">
        <v>19.5</v>
      </c>
      <c r="G12" s="4" t="n">
        <f aca="false">IF(AND(ISNUMBER(E12),ISNUMBER(F12)),F12-E12,"")</f>
        <v>0</v>
      </c>
      <c r="H12" s="5" t="n">
        <f aca="false">IF(AND(ISNUMBER(E12),ISNUMBER(F12)),IF(E12=0,"",(F12-E12)/E12*100),"")</f>
        <v>0</v>
      </c>
      <c r="I12" s="4" t="n">
        <f aca="false">IF(ISNUMBER(E12),C12*E12,"")</f>
        <v>390</v>
      </c>
      <c r="J12" s="4" t="n">
        <f aca="false">IF(ISNUMBER(F12),D12*F12,"")</f>
        <v>390</v>
      </c>
      <c r="K12" s="4" t="n">
        <f aca="false">IF(AND(ISNUMBER(I12),ISNUMBER(J12)),J12-I12,"")</f>
        <v>0</v>
      </c>
    </row>
    <row r="13" customFormat="false" ht="15" hidden="false" customHeight="false" outlineLevel="0" collapsed="false">
      <c r="A13" s="2" t="s">
        <v>33</v>
      </c>
      <c r="B13" s="2" t="s">
        <v>34</v>
      </c>
      <c r="C13" s="3" t="n">
        <v>720</v>
      </c>
      <c r="D13" s="3" t="n">
        <v>720</v>
      </c>
      <c r="E13" s="4" t="n">
        <v>18.5</v>
      </c>
      <c r="F13" s="4" t="n">
        <v>21.2</v>
      </c>
      <c r="G13" s="4" t="n">
        <f aca="false">IF(AND(ISNUMBER(E13),ISNUMBER(F13)),F13-E13,"")</f>
        <v>2.7</v>
      </c>
      <c r="H13" s="5" t="n">
        <f aca="false">IF(AND(ISNUMBER(E13),ISNUMBER(F13)),IF(E13=0,"",(F13-E13)/E13*100),"")</f>
        <v>14.5945945945946</v>
      </c>
      <c r="I13" s="4" t="n">
        <f aca="false">IF(ISNUMBER(E13),C13*E13,"")</f>
        <v>13320</v>
      </c>
      <c r="J13" s="4" t="n">
        <f aca="false">IF(ISNUMBER(F13),D13*F13,"")</f>
        <v>15264</v>
      </c>
      <c r="K13" s="4" t="n">
        <f aca="false">IF(AND(ISNUMBER(I13),ISNUMBER(J13)),J13-I13,"")</f>
        <v>1944</v>
      </c>
    </row>
    <row r="14" customFormat="false" ht="15" hidden="false" customHeight="false" outlineLevel="0" collapsed="false">
      <c r="A14" s="2" t="s">
        <v>35</v>
      </c>
      <c r="B14" s="2" t="s">
        <v>36</v>
      </c>
      <c r="C14" s="3" t="n">
        <v>200</v>
      </c>
      <c r="D14" s="3" t="n">
        <v>200</v>
      </c>
      <c r="E14" s="4" t="n">
        <v>14.2</v>
      </c>
      <c r="F14" s="4" t="n">
        <v>15.37</v>
      </c>
      <c r="G14" s="4" t="n">
        <f aca="false">IF(AND(ISNUMBER(E14),ISNUMBER(F14)),F14-E14,"")</f>
        <v>1.17</v>
      </c>
      <c r="H14" s="5" t="n">
        <f aca="false">IF(AND(ISNUMBER(E14),ISNUMBER(F14)),IF(E14=0,"",(F14-E14)/E14*100),"")</f>
        <v>8.23943661971831</v>
      </c>
      <c r="I14" s="4" t="n">
        <f aca="false">IF(ISNUMBER(E14),C14*E14,"")</f>
        <v>2840</v>
      </c>
      <c r="J14" s="4" t="n">
        <f aca="false">IF(ISNUMBER(F14),D14*F14,"")</f>
        <v>3074</v>
      </c>
      <c r="K14" s="4" t="n">
        <f aca="false">IF(AND(ISNUMBER(I14),ISNUMBER(J14)),J14-I14,"")</f>
        <v>234</v>
      </c>
    </row>
    <row r="15" customFormat="false" ht="15" hidden="false" customHeight="false" outlineLevel="0" collapsed="false">
      <c r="A15" s="2" t="s">
        <v>37</v>
      </c>
      <c r="B15" s="2" t="s">
        <v>38</v>
      </c>
      <c r="C15" s="3" t="n">
        <v>1800</v>
      </c>
      <c r="D15" s="3" t="n">
        <v>1800</v>
      </c>
      <c r="E15" s="4" t="n">
        <v>13.2</v>
      </c>
      <c r="F15" s="4" t="n">
        <v>15.37</v>
      </c>
      <c r="G15" s="4" t="n">
        <f aca="false">IF(AND(ISNUMBER(E15),ISNUMBER(F15)),F15-E15,"")</f>
        <v>2.17</v>
      </c>
      <c r="H15" s="5" t="n">
        <f aca="false">IF(AND(ISNUMBER(E15),ISNUMBER(F15)),IF(E15=0,"",(F15-E15)/E15*100),"")</f>
        <v>16.4393939393939</v>
      </c>
      <c r="I15" s="4" t="n">
        <f aca="false">IF(ISNUMBER(E15),C15*E15,"")</f>
        <v>23760</v>
      </c>
      <c r="J15" s="4" t="n">
        <f aca="false">IF(ISNUMBER(F15),D15*F15,"")</f>
        <v>27666</v>
      </c>
      <c r="K15" s="4" t="n">
        <f aca="false">IF(AND(ISNUMBER(I15),ISNUMBER(J15)),J15-I15,"")</f>
        <v>3906</v>
      </c>
    </row>
    <row r="16" customFormat="false" ht="15" hidden="false" customHeight="false" outlineLevel="0" collapsed="false">
      <c r="A16" s="2" t="s">
        <v>39</v>
      </c>
      <c r="B16" s="2" t="s">
        <v>40</v>
      </c>
      <c r="C16" s="3" t="n">
        <v>1080</v>
      </c>
      <c r="D16" s="3" t="n">
        <v>1080</v>
      </c>
      <c r="E16" s="4" t="n">
        <v>13.2</v>
      </c>
      <c r="F16" s="4" t="n">
        <v>15.37</v>
      </c>
      <c r="G16" s="4" t="n">
        <f aca="false">IF(AND(ISNUMBER(E16),ISNUMBER(F16)),F16-E16,"")</f>
        <v>2.17</v>
      </c>
      <c r="H16" s="5" t="n">
        <f aca="false">IF(AND(ISNUMBER(E16),ISNUMBER(F16)),IF(E16=0,"",(F16-E16)/E16*100),"")</f>
        <v>16.4393939393939</v>
      </c>
      <c r="I16" s="4" t="n">
        <f aca="false">IF(ISNUMBER(E16),C16*E16,"")</f>
        <v>14256</v>
      </c>
      <c r="J16" s="4" t="n">
        <f aca="false">IF(ISNUMBER(F16),D16*F16,"")</f>
        <v>16599.6</v>
      </c>
      <c r="K16" s="4" t="n">
        <f aca="false">IF(AND(ISNUMBER(I16),ISNUMBER(J16)),J16-I16,"")</f>
        <v>2343.6</v>
      </c>
    </row>
    <row r="17" customFormat="false" ht="15" hidden="false" customHeight="false" outlineLevel="0" collapsed="false">
      <c r="A17" s="2" t="s">
        <v>41</v>
      </c>
      <c r="B17" s="2" t="s">
        <v>42</v>
      </c>
      <c r="C17" s="3" t="n">
        <v>126</v>
      </c>
      <c r="D17" s="3" t="n">
        <v>126</v>
      </c>
      <c r="E17" s="4" t="n">
        <v>20.5</v>
      </c>
      <c r="F17" s="4" t="n">
        <v>22</v>
      </c>
      <c r="G17" s="4" t="n">
        <f aca="false">IF(AND(ISNUMBER(E17),ISNUMBER(F17)),F17-E17,"")</f>
        <v>1.5</v>
      </c>
      <c r="H17" s="5" t="n">
        <f aca="false">IF(AND(ISNUMBER(E17),ISNUMBER(F17)),IF(E17=0,"",(F17-E17)/E17*100),"")</f>
        <v>7.31707317073171</v>
      </c>
      <c r="I17" s="4" t="n">
        <f aca="false">IF(ISNUMBER(E17),C17*E17,"")</f>
        <v>2583</v>
      </c>
      <c r="J17" s="4" t="n">
        <f aca="false">IF(ISNUMBER(F17),D17*F17,"")</f>
        <v>2772</v>
      </c>
      <c r="K17" s="4" t="n">
        <f aca="false">IF(AND(ISNUMBER(I17),ISNUMBER(J17)),J17-I17,"")</f>
        <v>189</v>
      </c>
    </row>
    <row r="18" customFormat="false" ht="15" hidden="false" customHeight="false" outlineLevel="0" collapsed="false">
      <c r="A18" s="2" t="s">
        <v>43</v>
      </c>
      <c r="B18" s="2" t="s">
        <v>44</v>
      </c>
      <c r="C18" s="3" t="n">
        <v>40</v>
      </c>
      <c r="D18" s="3" t="n">
        <v>40</v>
      </c>
      <c r="E18" s="4" t="n">
        <v>25.5</v>
      </c>
      <c r="F18" s="4" t="n">
        <v>25.5</v>
      </c>
      <c r="G18" s="4" t="n">
        <f aca="false">IF(AND(ISNUMBER(E18),ISNUMBER(F18)),F18-E18,"")</f>
        <v>0</v>
      </c>
      <c r="H18" s="5" t="n">
        <f aca="false">IF(AND(ISNUMBER(E18),ISNUMBER(F18)),IF(E18=0,"",(F18-E18)/E18*100),"")</f>
        <v>0</v>
      </c>
      <c r="I18" s="4" t="n">
        <f aca="false">IF(ISNUMBER(E18),C18*E18,"")</f>
        <v>1020</v>
      </c>
      <c r="J18" s="4" t="n">
        <f aca="false">IF(ISNUMBER(F18),D18*F18,"")</f>
        <v>1020</v>
      </c>
      <c r="K18" s="4" t="n">
        <f aca="false">IF(AND(ISNUMBER(I18),ISNUMBER(J18)),J18-I18,"")</f>
        <v>0</v>
      </c>
    </row>
    <row r="19" customFormat="false" ht="15" hidden="false" customHeight="false" outlineLevel="0" collapsed="false">
      <c r="A19" s="2" t="s">
        <v>45</v>
      </c>
      <c r="B19" s="2" t="s">
        <v>46</v>
      </c>
      <c r="C19" s="3" t="n">
        <v>81</v>
      </c>
      <c r="D19" s="3" t="n">
        <v>81</v>
      </c>
      <c r="E19" s="4" t="n">
        <v>40.5</v>
      </c>
      <c r="F19" s="4" t="n">
        <v>40.5</v>
      </c>
      <c r="G19" s="4" t="n">
        <f aca="false">IF(AND(ISNUMBER(E19),ISNUMBER(F19)),F19-E19,"")</f>
        <v>0</v>
      </c>
      <c r="H19" s="5" t="n">
        <f aca="false">IF(AND(ISNUMBER(E19),ISNUMBER(F19)),IF(E19=0,"",(F19-E19)/E19*100),"")</f>
        <v>0</v>
      </c>
      <c r="I19" s="4" t="n">
        <f aca="false">IF(ISNUMBER(E19),C19*E19,"")</f>
        <v>3280.5</v>
      </c>
      <c r="J19" s="4" t="n">
        <f aca="false">IF(ISNUMBER(F19),D19*F19,"")</f>
        <v>3280.5</v>
      </c>
      <c r="K19" s="4" t="n">
        <f aca="false">IF(AND(ISNUMBER(I19),ISNUMBER(J19)),J19-I19,"")</f>
        <v>0</v>
      </c>
    </row>
    <row r="20" customFormat="false" ht="15" hidden="false" customHeight="false" outlineLevel="0" collapsed="false">
      <c r="A20" s="2" t="s">
        <v>47</v>
      </c>
      <c r="B20" s="2" t="s">
        <v>48</v>
      </c>
      <c r="C20" s="3" t="n">
        <v>27</v>
      </c>
      <c r="D20" s="3" t="n">
        <v>27</v>
      </c>
      <c r="E20" s="4" t="n">
        <v>40.5</v>
      </c>
      <c r="F20" s="4" t="n">
        <v>40.5</v>
      </c>
      <c r="G20" s="4" t="n">
        <f aca="false">IF(AND(ISNUMBER(E20),ISNUMBER(F20)),F20-E20,"")</f>
        <v>0</v>
      </c>
      <c r="H20" s="5" t="n">
        <f aca="false">IF(AND(ISNUMBER(E20),ISNUMBER(F20)),IF(E20=0,"",(F20-E20)/E20*100),"")</f>
        <v>0</v>
      </c>
      <c r="I20" s="4" t="n">
        <f aca="false">IF(ISNUMBER(E20),C20*E20,"")</f>
        <v>1093.5</v>
      </c>
      <c r="J20" s="4" t="n">
        <f aca="false">IF(ISNUMBER(F20),D20*F20,"")</f>
        <v>1093.5</v>
      </c>
      <c r="K20" s="4" t="n">
        <f aca="false">IF(AND(ISNUMBER(I20),ISNUMBER(J20)),J20-I20,"")</f>
        <v>0</v>
      </c>
    </row>
    <row r="21" customFormat="false" ht="15" hidden="false" customHeight="false" outlineLevel="0" collapsed="false">
      <c r="A21" s="2" t="s">
        <v>49</v>
      </c>
      <c r="B21" s="2" t="s">
        <v>50</v>
      </c>
      <c r="C21" s="3" t="n">
        <v>42</v>
      </c>
      <c r="D21" s="3" t="n">
        <v>42</v>
      </c>
      <c r="E21" s="4" t="n">
        <v>40.5</v>
      </c>
      <c r="F21" s="4" t="n">
        <v>40.5</v>
      </c>
      <c r="G21" s="4" t="n">
        <f aca="false">IF(AND(ISNUMBER(E21),ISNUMBER(F21)),F21-E21,"")</f>
        <v>0</v>
      </c>
      <c r="H21" s="5" t="n">
        <f aca="false">IF(AND(ISNUMBER(E21),ISNUMBER(F21)),IF(E21=0,"",(F21-E21)/E21*100),"")</f>
        <v>0</v>
      </c>
      <c r="I21" s="4" t="n">
        <f aca="false">IF(ISNUMBER(E21),C21*E21,"")</f>
        <v>1701</v>
      </c>
      <c r="J21" s="4" t="n">
        <f aca="false">IF(ISNUMBER(F21),D21*F21,"")</f>
        <v>1701</v>
      </c>
      <c r="K21" s="4" t="n">
        <f aca="false">IF(AND(ISNUMBER(I21),ISNUMBER(J21)),J21-I21,"")</f>
        <v>0</v>
      </c>
    </row>
    <row r="22" customFormat="false" ht="15" hidden="false" customHeight="false" outlineLevel="0" collapsed="false">
      <c r="A22" s="2" t="s">
        <v>51</v>
      </c>
      <c r="B22" s="2" t="s">
        <v>52</v>
      </c>
      <c r="C22" s="3" t="n">
        <v>27</v>
      </c>
      <c r="D22" s="3" t="n">
        <v>27</v>
      </c>
      <c r="E22" s="4" t="n">
        <v>40.5</v>
      </c>
      <c r="F22" s="4" t="n">
        <v>40.5</v>
      </c>
      <c r="G22" s="4" t="n">
        <f aca="false">IF(AND(ISNUMBER(E22),ISNUMBER(F22)),F22-E22,"")</f>
        <v>0</v>
      </c>
      <c r="H22" s="5" t="n">
        <f aca="false">IF(AND(ISNUMBER(E22),ISNUMBER(F22)),IF(E22=0,"",(F22-E22)/E22*100),"")</f>
        <v>0</v>
      </c>
      <c r="I22" s="4" t="n">
        <f aca="false">IF(ISNUMBER(E22),C22*E22,"")</f>
        <v>1093.5</v>
      </c>
      <c r="J22" s="4" t="n">
        <f aca="false">IF(ISNUMBER(F22),D22*F22,"")</f>
        <v>1093.5</v>
      </c>
      <c r="K22" s="4" t="n">
        <f aca="false">IF(AND(ISNUMBER(I22),ISNUMBER(J22)),J22-I22,"")</f>
        <v>0</v>
      </c>
    </row>
    <row r="23" customFormat="false" ht="15" hidden="false" customHeight="false" outlineLevel="0" collapsed="false">
      <c r="A23" s="2" t="s">
        <v>53</v>
      </c>
      <c r="B23" s="2" t="s">
        <v>54</v>
      </c>
      <c r="C23" s="3" t="n">
        <v>9</v>
      </c>
      <c r="D23" s="3" t="n">
        <v>9</v>
      </c>
      <c r="E23" s="4" t="n">
        <v>40.5</v>
      </c>
      <c r="F23" s="4" t="n">
        <v>40.5</v>
      </c>
      <c r="G23" s="4" t="n">
        <f aca="false">IF(AND(ISNUMBER(E23),ISNUMBER(F23)),F23-E23,"")</f>
        <v>0</v>
      </c>
      <c r="H23" s="5" t="n">
        <f aca="false">IF(AND(ISNUMBER(E23),ISNUMBER(F23)),IF(E23=0,"",(F23-E23)/E23*100),"")</f>
        <v>0</v>
      </c>
      <c r="I23" s="4" t="n">
        <f aca="false">IF(ISNUMBER(E23),C23*E23,"")</f>
        <v>364.5</v>
      </c>
      <c r="J23" s="4" t="n">
        <f aca="false">IF(ISNUMBER(F23),D23*F23,"")</f>
        <v>364.5</v>
      </c>
      <c r="K23" s="4" t="n">
        <f aca="false">IF(AND(ISNUMBER(I23),ISNUMBER(J23)),J23-I23,"")</f>
        <v>0</v>
      </c>
    </row>
    <row r="24" customFormat="false" ht="15" hidden="false" customHeight="false" outlineLevel="0" collapsed="false">
      <c r="A24" s="2" t="s">
        <v>55</v>
      </c>
      <c r="B24" s="2" t="s">
        <v>56</v>
      </c>
      <c r="C24" s="3" t="n">
        <v>8</v>
      </c>
      <c r="D24" s="3" t="n">
        <v>8</v>
      </c>
      <c r="E24" s="4" t="n">
        <v>53.12</v>
      </c>
      <c r="F24" s="4" t="n">
        <v>53.12</v>
      </c>
      <c r="G24" s="4" t="n">
        <f aca="false">IF(AND(ISNUMBER(E24),ISNUMBER(F24)),F24-E24,"")</f>
        <v>0</v>
      </c>
      <c r="H24" s="5" t="n">
        <f aca="false">IF(AND(ISNUMBER(E24),ISNUMBER(F24)),IF(E24=0,"",(F24-E24)/E24*100),"")</f>
        <v>0</v>
      </c>
      <c r="I24" s="4" t="n">
        <f aca="false">IF(ISNUMBER(E24),C24*E24,"")</f>
        <v>424.96</v>
      </c>
      <c r="J24" s="4" t="n">
        <f aca="false">IF(ISNUMBER(F24),D24*F24,"")</f>
        <v>424.96</v>
      </c>
      <c r="K24" s="4" t="n">
        <f aca="false">IF(AND(ISNUMBER(I24),ISNUMBER(J24)),J24-I24,"")</f>
        <v>0</v>
      </c>
    </row>
    <row r="25" customFormat="false" ht="15" hidden="false" customHeight="false" outlineLevel="0" collapsed="false">
      <c r="A25" s="2" t="s">
        <v>57</v>
      </c>
      <c r="B25" s="2" t="s">
        <v>58</v>
      </c>
      <c r="C25" s="3" t="n">
        <v>4</v>
      </c>
      <c r="D25" s="3" t="n">
        <v>4</v>
      </c>
      <c r="E25" s="4" t="n">
        <v>53.12</v>
      </c>
      <c r="F25" s="4" t="n">
        <v>53.12</v>
      </c>
      <c r="G25" s="4" t="n">
        <f aca="false">IF(AND(ISNUMBER(E25),ISNUMBER(F25)),F25-E25,"")</f>
        <v>0</v>
      </c>
      <c r="H25" s="5" t="n">
        <f aca="false">IF(AND(ISNUMBER(E25),ISNUMBER(F25)),IF(E25=0,"",(F25-E25)/E25*100),"")</f>
        <v>0</v>
      </c>
      <c r="I25" s="4" t="n">
        <f aca="false">IF(ISNUMBER(E25),C25*E25,"")</f>
        <v>212.48</v>
      </c>
      <c r="J25" s="4" t="n">
        <f aca="false">IF(ISNUMBER(F25),D25*F25,"")</f>
        <v>212.48</v>
      </c>
      <c r="K25" s="4" t="n">
        <f aca="false">IF(AND(ISNUMBER(I25),ISNUMBER(J25)),J25-I25,"")</f>
        <v>0</v>
      </c>
    </row>
    <row r="26" customFormat="false" ht="15" hidden="false" customHeight="false" outlineLevel="0" collapsed="false">
      <c r="A26" s="2" t="s">
        <v>59</v>
      </c>
      <c r="B26" s="2" t="s">
        <v>60</v>
      </c>
      <c r="C26" s="3" t="n">
        <v>8</v>
      </c>
      <c r="D26" s="3" t="n">
        <v>8</v>
      </c>
      <c r="E26" s="4" t="n">
        <v>53.12</v>
      </c>
      <c r="F26" s="4" t="n">
        <v>53.12</v>
      </c>
      <c r="G26" s="4" t="n">
        <f aca="false">IF(AND(ISNUMBER(E26),ISNUMBER(F26)),F26-E26,"")</f>
        <v>0</v>
      </c>
      <c r="H26" s="5" t="n">
        <f aca="false">IF(AND(ISNUMBER(E26),ISNUMBER(F26)),IF(E26=0,"",(F26-E26)/E26*100),"")</f>
        <v>0</v>
      </c>
      <c r="I26" s="4" t="n">
        <f aca="false">IF(ISNUMBER(E26),C26*E26,"")</f>
        <v>424.96</v>
      </c>
      <c r="J26" s="4" t="n">
        <f aca="false">IF(ISNUMBER(F26),D26*F26,"")</f>
        <v>424.96</v>
      </c>
      <c r="K26" s="4" t="n">
        <f aca="false">IF(AND(ISNUMBER(I26),ISNUMBER(J26)),J26-I26,"")</f>
        <v>0</v>
      </c>
    </row>
    <row r="27" customFormat="false" ht="15" hidden="false" customHeight="false" outlineLevel="0" collapsed="false">
      <c r="A27" s="2" t="s">
        <v>61</v>
      </c>
      <c r="B27" s="2" t="s">
        <v>62</v>
      </c>
      <c r="C27" s="3" t="n">
        <v>32</v>
      </c>
      <c r="D27" s="3" t="n">
        <v>32</v>
      </c>
      <c r="E27" s="4" t="n">
        <v>53.12</v>
      </c>
      <c r="F27" s="4" t="n">
        <v>53.12</v>
      </c>
      <c r="G27" s="4" t="n">
        <f aca="false">IF(AND(ISNUMBER(E27),ISNUMBER(F27)),F27-E27,"")</f>
        <v>0</v>
      </c>
      <c r="H27" s="5" t="n">
        <f aca="false">IF(AND(ISNUMBER(E27),ISNUMBER(F27)),IF(E27=0,"",(F27-E27)/E27*100),"")</f>
        <v>0</v>
      </c>
      <c r="I27" s="4" t="n">
        <f aca="false">IF(ISNUMBER(E27),C27*E27,"")</f>
        <v>1699.84</v>
      </c>
      <c r="J27" s="4" t="n">
        <f aca="false">IF(ISNUMBER(F27),D27*F27,"")</f>
        <v>1699.84</v>
      </c>
      <c r="K27" s="4" t="n">
        <f aca="false">IF(AND(ISNUMBER(I27),ISNUMBER(J27)),J27-I27,"")</f>
        <v>0</v>
      </c>
    </row>
    <row r="28" customFormat="false" ht="15" hidden="false" customHeight="false" outlineLevel="0" collapsed="false">
      <c r="A28" s="2" t="s">
        <v>63</v>
      </c>
      <c r="B28" s="2" t="s">
        <v>64</v>
      </c>
      <c r="C28" s="3" t="n">
        <v>300</v>
      </c>
      <c r="D28" s="3" t="n">
        <v>300</v>
      </c>
      <c r="E28" s="4" t="n">
        <v>53.12</v>
      </c>
      <c r="F28" s="4" t="n">
        <v>53.12</v>
      </c>
      <c r="G28" s="4" t="n">
        <f aca="false">IF(AND(ISNUMBER(E28),ISNUMBER(F28)),F28-E28,"")</f>
        <v>0</v>
      </c>
      <c r="H28" s="5" t="n">
        <f aca="false">IF(AND(ISNUMBER(E28),ISNUMBER(F28)),IF(E28=0,"",(F28-E28)/E28*100),"")</f>
        <v>0</v>
      </c>
      <c r="I28" s="4" t="n">
        <f aca="false">IF(ISNUMBER(E28),C28*E28,"")</f>
        <v>15936</v>
      </c>
      <c r="J28" s="4" t="n">
        <f aca="false">IF(ISNUMBER(F28),D28*F28,"")</f>
        <v>15936</v>
      </c>
      <c r="K28" s="4" t="n">
        <f aca="false">IF(AND(ISNUMBER(I28),ISNUMBER(J28)),J28-I28,"")</f>
        <v>0</v>
      </c>
    </row>
    <row r="29" customFormat="false" ht="15" hidden="false" customHeight="false" outlineLevel="0" collapsed="false">
      <c r="A29" s="2" t="s">
        <v>65</v>
      </c>
      <c r="B29" s="2" t="s">
        <v>66</v>
      </c>
      <c r="C29" s="3" t="n">
        <v>8</v>
      </c>
      <c r="D29" s="3" t="n">
        <v>8</v>
      </c>
      <c r="E29" s="4" t="n">
        <v>53.12</v>
      </c>
      <c r="F29" s="4" t="n">
        <v>53.12</v>
      </c>
      <c r="G29" s="4" t="n">
        <f aca="false">IF(AND(ISNUMBER(E29),ISNUMBER(F29)),F29-E29,"")</f>
        <v>0</v>
      </c>
      <c r="H29" s="5" t="n">
        <f aca="false">IF(AND(ISNUMBER(E29),ISNUMBER(F29)),IF(E29=0,"",(F29-E29)/E29*100),"")</f>
        <v>0</v>
      </c>
      <c r="I29" s="4" t="n">
        <f aca="false">IF(ISNUMBER(E29),C29*E29,"")</f>
        <v>424.96</v>
      </c>
      <c r="J29" s="4" t="n">
        <f aca="false">IF(ISNUMBER(F29),D29*F29,"")</f>
        <v>424.96</v>
      </c>
      <c r="K29" s="4" t="n">
        <f aca="false">IF(AND(ISNUMBER(I29),ISNUMBER(J29)),J29-I29,"")</f>
        <v>0</v>
      </c>
    </row>
    <row r="30" customFormat="false" ht="15" hidden="false" customHeight="false" outlineLevel="0" collapsed="false">
      <c r="A30" s="2" t="s">
        <v>67</v>
      </c>
      <c r="B30" s="2" t="s">
        <v>68</v>
      </c>
      <c r="C30" s="3" t="n">
        <v>12</v>
      </c>
      <c r="D30" s="3" t="n">
        <v>12</v>
      </c>
      <c r="E30" s="4" t="n">
        <v>53.12</v>
      </c>
      <c r="F30" s="4" t="n">
        <v>53.12</v>
      </c>
      <c r="G30" s="4" t="n">
        <f aca="false">IF(AND(ISNUMBER(E30),ISNUMBER(F30)),F30-E30,"")</f>
        <v>0</v>
      </c>
      <c r="H30" s="5" t="n">
        <f aca="false">IF(AND(ISNUMBER(E30),ISNUMBER(F30)),IF(E30=0,"",(F30-E30)/E30*100),"")</f>
        <v>0</v>
      </c>
      <c r="I30" s="4" t="n">
        <f aca="false">IF(ISNUMBER(E30),C30*E30,"")</f>
        <v>637.44</v>
      </c>
      <c r="J30" s="4" t="n">
        <f aca="false">IF(ISNUMBER(F30),D30*F30,"")</f>
        <v>637.44</v>
      </c>
      <c r="K30" s="4" t="n">
        <f aca="false">IF(AND(ISNUMBER(I30),ISNUMBER(J30)),J30-I30,"")</f>
        <v>0</v>
      </c>
    </row>
    <row r="31" customFormat="false" ht="15" hidden="false" customHeight="false" outlineLevel="0" collapsed="false">
      <c r="A31" s="2" t="s">
        <v>69</v>
      </c>
      <c r="B31" s="2" t="s">
        <v>70</v>
      </c>
      <c r="C31" s="3" t="n">
        <v>12</v>
      </c>
      <c r="D31" s="3" t="n">
        <v>12</v>
      </c>
      <c r="E31" s="4" t="n">
        <v>53.12</v>
      </c>
      <c r="F31" s="4" t="n">
        <v>53.12</v>
      </c>
      <c r="G31" s="4" t="n">
        <f aca="false">IF(AND(ISNUMBER(E31),ISNUMBER(F31)),F31-E31,"")</f>
        <v>0</v>
      </c>
      <c r="H31" s="5" t="n">
        <f aca="false">IF(AND(ISNUMBER(E31),ISNUMBER(F31)),IF(E31=0,"",(F31-E31)/E31*100),"")</f>
        <v>0</v>
      </c>
      <c r="I31" s="4" t="n">
        <f aca="false">IF(ISNUMBER(E31),C31*E31,"")</f>
        <v>637.44</v>
      </c>
      <c r="J31" s="4" t="n">
        <f aca="false">IF(ISNUMBER(F31),D31*F31,"")</f>
        <v>637.44</v>
      </c>
      <c r="K31" s="4" t="n">
        <f aca="false">IF(AND(ISNUMBER(I31),ISNUMBER(J31)),J31-I31,"")</f>
        <v>0</v>
      </c>
    </row>
    <row r="32" customFormat="false" ht="15" hidden="false" customHeight="false" outlineLevel="0" collapsed="false">
      <c r="A32" s="2" t="s">
        <v>71</v>
      </c>
      <c r="B32" s="2" t="s">
        <v>72</v>
      </c>
      <c r="C32" s="3" t="n">
        <v>12</v>
      </c>
      <c r="D32" s="3" t="n">
        <v>12</v>
      </c>
      <c r="E32" s="4" t="n">
        <v>53.12</v>
      </c>
      <c r="F32" s="4" t="n">
        <v>53.12</v>
      </c>
      <c r="G32" s="4" t="n">
        <f aca="false">IF(AND(ISNUMBER(E32),ISNUMBER(F32)),F32-E32,"")</f>
        <v>0</v>
      </c>
      <c r="H32" s="5" t="n">
        <f aca="false">IF(AND(ISNUMBER(E32),ISNUMBER(F32)),IF(E32=0,"",(F32-E32)/E32*100),"")</f>
        <v>0</v>
      </c>
      <c r="I32" s="4" t="n">
        <f aca="false">IF(ISNUMBER(E32),C32*E32,"")</f>
        <v>637.44</v>
      </c>
      <c r="J32" s="4" t="n">
        <f aca="false">IF(ISNUMBER(F32),D32*F32,"")</f>
        <v>637.44</v>
      </c>
      <c r="K32" s="4" t="n">
        <f aca="false">IF(AND(ISNUMBER(I32),ISNUMBER(J32)),J32-I32,"")</f>
        <v>0</v>
      </c>
    </row>
    <row r="33" customFormat="false" ht="15" hidden="false" customHeight="false" outlineLevel="0" collapsed="false">
      <c r="A33" s="2" t="s">
        <v>73</v>
      </c>
      <c r="B33" s="2" t="s">
        <v>74</v>
      </c>
      <c r="C33" s="3" t="n">
        <v>480</v>
      </c>
      <c r="D33" s="3" t="n">
        <v>480</v>
      </c>
      <c r="E33" s="4" t="n">
        <v>53.12</v>
      </c>
      <c r="F33" s="4" t="n">
        <v>53.12</v>
      </c>
      <c r="G33" s="4" t="n">
        <f aca="false">IF(AND(ISNUMBER(E33),ISNUMBER(F33)),F33-E33,"")</f>
        <v>0</v>
      </c>
      <c r="H33" s="5" t="n">
        <f aca="false">IF(AND(ISNUMBER(E33),ISNUMBER(F33)),IF(E33=0,"",(F33-E33)/E33*100),"")</f>
        <v>0</v>
      </c>
      <c r="I33" s="4" t="n">
        <f aca="false">IF(ISNUMBER(E33),C33*E33,"")</f>
        <v>25497.6</v>
      </c>
      <c r="J33" s="4" t="n">
        <f aca="false">IF(ISNUMBER(F33),D33*F33,"")</f>
        <v>25497.6</v>
      </c>
      <c r="K33" s="4" t="n">
        <f aca="false">IF(AND(ISNUMBER(I33),ISNUMBER(J33)),J33-I33,"")</f>
        <v>0</v>
      </c>
    </row>
    <row r="34" customFormat="false" ht="15" hidden="false" customHeight="false" outlineLevel="0" collapsed="false">
      <c r="A34" s="2" t="s">
        <v>75</v>
      </c>
      <c r="B34" s="2" t="s">
        <v>76</v>
      </c>
      <c r="C34" s="3" t="n">
        <v>1215</v>
      </c>
      <c r="D34" s="3" t="n">
        <v>1215</v>
      </c>
      <c r="E34" s="4" t="n">
        <v>19.5</v>
      </c>
      <c r="F34" s="4" t="n">
        <v>19.99</v>
      </c>
      <c r="G34" s="4" t="n">
        <f aca="false">IF(AND(ISNUMBER(E34),ISNUMBER(F34)),F34-E34,"")</f>
        <v>0.489999999999998</v>
      </c>
      <c r="H34" s="5" t="n">
        <f aca="false">IF(AND(ISNUMBER(E34),ISNUMBER(F34)),IF(E34=0,"",(F34-E34)/E34*100),"")</f>
        <v>2.51282051282051</v>
      </c>
      <c r="I34" s="4" t="n">
        <f aca="false">IF(ISNUMBER(E34),C34*E34,"")</f>
        <v>23692.5</v>
      </c>
      <c r="J34" s="4" t="n">
        <f aca="false">IF(ISNUMBER(F34),D34*F34,"")</f>
        <v>24287.85</v>
      </c>
      <c r="K34" s="4" t="n">
        <f aca="false">IF(AND(ISNUMBER(I34),ISNUMBER(J34)),J34-I34,"")</f>
        <v>595.349999999999</v>
      </c>
    </row>
    <row r="35" customFormat="false" ht="15" hidden="false" customHeight="false" outlineLevel="0" collapsed="false">
      <c r="A35" s="2" t="s">
        <v>77</v>
      </c>
      <c r="B35" s="2" t="s">
        <v>78</v>
      </c>
      <c r="C35" s="3" t="n">
        <v>600</v>
      </c>
      <c r="D35" s="3" t="n">
        <v>600</v>
      </c>
      <c r="E35" s="4" t="n">
        <v>13.5</v>
      </c>
      <c r="F35" s="4" t="n">
        <v>14.31</v>
      </c>
      <c r="G35" s="4" t="n">
        <f aca="false">IF(AND(ISNUMBER(E35),ISNUMBER(F35)),F35-E35,"")</f>
        <v>0.810000000000001</v>
      </c>
      <c r="H35" s="5" t="n">
        <f aca="false">IF(AND(ISNUMBER(E35),ISNUMBER(F35)),IF(E35=0,"",(F35-E35)/E35*100),"")</f>
        <v>6</v>
      </c>
      <c r="I35" s="4" t="n">
        <f aca="false">IF(ISNUMBER(E35),C35*E35,"")</f>
        <v>8100</v>
      </c>
      <c r="J35" s="4" t="n">
        <f aca="false">IF(ISNUMBER(F35),D35*F35,"")</f>
        <v>8586</v>
      </c>
      <c r="K35" s="4" t="n">
        <f aca="false">IF(AND(ISNUMBER(I35),ISNUMBER(J35)),J35-I35,"")</f>
        <v>486</v>
      </c>
    </row>
    <row r="36" customFormat="false" ht="15" hidden="false" customHeight="false" outlineLevel="0" collapsed="false">
      <c r="A36" s="2" t="s">
        <v>79</v>
      </c>
      <c r="B36" s="2" t="s">
        <v>80</v>
      </c>
      <c r="C36" s="3" t="n">
        <v>80</v>
      </c>
      <c r="D36" s="3" t="n">
        <v>80</v>
      </c>
      <c r="E36" s="4" t="n">
        <v>13.5</v>
      </c>
      <c r="F36" s="4" t="n">
        <v>14.31</v>
      </c>
      <c r="G36" s="4" t="n">
        <f aca="false">IF(AND(ISNUMBER(E36),ISNUMBER(F36)),F36-E36,"")</f>
        <v>0.810000000000001</v>
      </c>
      <c r="H36" s="5" t="n">
        <f aca="false">IF(AND(ISNUMBER(E36),ISNUMBER(F36)),IF(E36=0,"",(F36-E36)/E36*100),"")</f>
        <v>6</v>
      </c>
      <c r="I36" s="4" t="n">
        <f aca="false">IF(ISNUMBER(E36),C36*E36,"")</f>
        <v>1080</v>
      </c>
      <c r="J36" s="4" t="n">
        <f aca="false">IF(ISNUMBER(F36),D36*F36,"")</f>
        <v>1144.8</v>
      </c>
      <c r="K36" s="4" t="n">
        <f aca="false">IF(AND(ISNUMBER(I36),ISNUMBER(J36)),J36-I36,"")</f>
        <v>64.8</v>
      </c>
    </row>
    <row r="37" customFormat="false" ht="15" hidden="false" customHeight="false" outlineLevel="0" collapsed="false">
      <c r="A37" s="2" t="s">
        <v>81</v>
      </c>
      <c r="B37" s="2" t="s">
        <v>82</v>
      </c>
      <c r="C37" s="3" t="n">
        <v>80</v>
      </c>
      <c r="D37" s="3" t="n">
        <v>80</v>
      </c>
      <c r="E37" s="4" t="n">
        <v>13.5</v>
      </c>
      <c r="F37" s="4" t="n">
        <v>14.31</v>
      </c>
      <c r="G37" s="4" t="n">
        <f aca="false">IF(AND(ISNUMBER(E37),ISNUMBER(F37)),F37-E37,"")</f>
        <v>0.810000000000001</v>
      </c>
      <c r="H37" s="5" t="n">
        <f aca="false">IF(AND(ISNUMBER(E37),ISNUMBER(F37)),IF(E37=0,"",(F37-E37)/E37*100),"")</f>
        <v>6</v>
      </c>
      <c r="I37" s="4" t="n">
        <f aca="false">IF(ISNUMBER(E37),C37*E37,"")</f>
        <v>1080</v>
      </c>
      <c r="J37" s="4" t="n">
        <f aca="false">IF(ISNUMBER(F37),D37*F37,"")</f>
        <v>1144.8</v>
      </c>
      <c r="K37" s="4" t="n">
        <f aca="false">IF(AND(ISNUMBER(I37),ISNUMBER(J37)),J37-I37,"")</f>
        <v>64.8</v>
      </c>
    </row>
    <row r="38" customFormat="false" ht="15" hidden="false" customHeight="false" outlineLevel="0" collapsed="false">
      <c r="A38" s="2" t="s">
        <v>83</v>
      </c>
      <c r="B38" s="2" t="s">
        <v>84</v>
      </c>
      <c r="C38" s="3" t="n">
        <v>50</v>
      </c>
      <c r="D38" s="3" t="n">
        <v>50</v>
      </c>
      <c r="E38" s="4" t="n">
        <v>13.5</v>
      </c>
      <c r="F38" s="4" t="n">
        <v>14.31</v>
      </c>
      <c r="G38" s="4" t="n">
        <f aca="false">IF(AND(ISNUMBER(E38),ISNUMBER(F38)),F38-E38,"")</f>
        <v>0.810000000000001</v>
      </c>
      <c r="H38" s="5" t="n">
        <f aca="false">IF(AND(ISNUMBER(E38),ISNUMBER(F38)),IF(E38=0,"",(F38-E38)/E38*100),"")</f>
        <v>6</v>
      </c>
      <c r="I38" s="4" t="n">
        <f aca="false">IF(ISNUMBER(E38),C38*E38,"")</f>
        <v>675</v>
      </c>
      <c r="J38" s="4" t="n">
        <f aca="false">IF(ISNUMBER(F38),D38*F38,"")</f>
        <v>715.5</v>
      </c>
      <c r="K38" s="4" t="n">
        <f aca="false">IF(AND(ISNUMBER(I38),ISNUMBER(J38)),J38-I38,"")</f>
        <v>40.5</v>
      </c>
    </row>
    <row r="39" customFormat="false" ht="15" hidden="false" customHeight="false" outlineLevel="0" collapsed="false">
      <c r="A39" s="2" t="s">
        <v>85</v>
      </c>
      <c r="B39" s="2" t="s">
        <v>86</v>
      </c>
      <c r="C39" s="3" t="n">
        <v>20</v>
      </c>
      <c r="D39" s="3" t="n">
        <v>20</v>
      </c>
      <c r="E39" s="4" t="n">
        <v>13.5</v>
      </c>
      <c r="F39" s="4" t="n">
        <v>14.31</v>
      </c>
      <c r="G39" s="4" t="n">
        <f aca="false">IF(AND(ISNUMBER(E39),ISNUMBER(F39)),F39-E39,"")</f>
        <v>0.810000000000001</v>
      </c>
      <c r="H39" s="5" t="n">
        <f aca="false">IF(AND(ISNUMBER(E39),ISNUMBER(F39)),IF(E39=0,"",(F39-E39)/E39*100),"")</f>
        <v>6</v>
      </c>
      <c r="I39" s="4" t="n">
        <f aca="false">IF(ISNUMBER(E39),C39*E39,"")</f>
        <v>270</v>
      </c>
      <c r="J39" s="4" t="n">
        <f aca="false">IF(ISNUMBER(F39),D39*F39,"")</f>
        <v>286.2</v>
      </c>
      <c r="K39" s="4" t="n">
        <f aca="false">IF(AND(ISNUMBER(I39),ISNUMBER(J39)),J39-I39,"")</f>
        <v>16.2</v>
      </c>
    </row>
    <row r="40" customFormat="false" ht="15" hidden="false" customHeight="false" outlineLevel="0" collapsed="false">
      <c r="A40" s="2" t="s">
        <v>87</v>
      </c>
      <c r="B40" s="2" t="s">
        <v>88</v>
      </c>
      <c r="C40" s="3" t="n">
        <v>25</v>
      </c>
      <c r="D40" s="3" t="n">
        <v>25</v>
      </c>
      <c r="E40" s="4" t="n">
        <v>13.5</v>
      </c>
      <c r="F40" s="4" t="n">
        <v>14.31</v>
      </c>
      <c r="G40" s="4" t="n">
        <f aca="false">IF(AND(ISNUMBER(E40),ISNUMBER(F40)),F40-E40,"")</f>
        <v>0.810000000000001</v>
      </c>
      <c r="H40" s="5" t="n">
        <f aca="false">IF(AND(ISNUMBER(E40),ISNUMBER(F40)),IF(E40=0,"",(F40-E40)/E40*100),"")</f>
        <v>6</v>
      </c>
      <c r="I40" s="4" t="n">
        <f aca="false">IF(ISNUMBER(E40),C40*E40,"")</f>
        <v>337.5</v>
      </c>
      <c r="J40" s="4" t="n">
        <f aca="false">IF(ISNUMBER(F40),D40*F40,"")</f>
        <v>357.75</v>
      </c>
      <c r="K40" s="4" t="n">
        <f aca="false">IF(AND(ISNUMBER(I40),ISNUMBER(J40)),J40-I40,"")</f>
        <v>20.25</v>
      </c>
    </row>
    <row r="41" customFormat="false" ht="15" hidden="false" customHeight="false" outlineLevel="0" collapsed="false">
      <c r="A41" s="2" t="s">
        <v>89</v>
      </c>
      <c r="B41" s="2" t="s">
        <v>90</v>
      </c>
      <c r="C41" s="3" t="n">
        <v>20</v>
      </c>
      <c r="D41" s="3" t="n">
        <v>20</v>
      </c>
      <c r="E41" s="4" t="n">
        <v>13.5</v>
      </c>
      <c r="F41" s="4" t="n">
        <v>14.31</v>
      </c>
      <c r="G41" s="4" t="n">
        <f aca="false">IF(AND(ISNUMBER(E41),ISNUMBER(F41)),F41-E41,"")</f>
        <v>0.810000000000001</v>
      </c>
      <c r="H41" s="5" t="n">
        <f aca="false">IF(AND(ISNUMBER(E41),ISNUMBER(F41)),IF(E41=0,"",(F41-E41)/E41*100),"")</f>
        <v>6</v>
      </c>
      <c r="I41" s="4" t="n">
        <f aca="false">IF(ISNUMBER(E41),C41*E41,"")</f>
        <v>270</v>
      </c>
      <c r="J41" s="4" t="n">
        <f aca="false">IF(ISNUMBER(F41),D41*F41,"")</f>
        <v>286.2</v>
      </c>
      <c r="K41" s="4" t="n">
        <f aca="false">IF(AND(ISNUMBER(I41),ISNUMBER(J41)),J41-I41,"")</f>
        <v>16.2</v>
      </c>
    </row>
    <row r="42" customFormat="false" ht="15" hidden="false" customHeight="false" outlineLevel="0" collapsed="false">
      <c r="A42" s="2" t="s">
        <v>91</v>
      </c>
      <c r="B42" s="2" t="s">
        <v>92</v>
      </c>
      <c r="C42" s="3" t="n">
        <v>160</v>
      </c>
      <c r="D42" s="3" t="n">
        <v>160</v>
      </c>
      <c r="E42" s="4" t="n">
        <v>13.5</v>
      </c>
      <c r="F42" s="4" t="n">
        <v>14.31</v>
      </c>
      <c r="G42" s="4" t="n">
        <f aca="false">IF(AND(ISNUMBER(E42),ISNUMBER(F42)),F42-E42,"")</f>
        <v>0.810000000000001</v>
      </c>
      <c r="H42" s="5" t="n">
        <f aca="false">IF(AND(ISNUMBER(E42),ISNUMBER(F42)),IF(E42=0,"",(F42-E42)/E42*100),"")</f>
        <v>6</v>
      </c>
      <c r="I42" s="4" t="n">
        <f aca="false">IF(ISNUMBER(E42),C42*E42,"")</f>
        <v>2160</v>
      </c>
      <c r="J42" s="4" t="n">
        <f aca="false">IF(ISNUMBER(F42),D42*F42,"")</f>
        <v>2289.6</v>
      </c>
      <c r="K42" s="4" t="n">
        <f aca="false">IF(AND(ISNUMBER(I42),ISNUMBER(J42)),J42-I42,"")</f>
        <v>129.6</v>
      </c>
    </row>
    <row r="43" customFormat="false" ht="15" hidden="false" customHeight="false" outlineLevel="0" collapsed="false">
      <c r="A43" s="2" t="s">
        <v>93</v>
      </c>
      <c r="B43" s="2" t="s">
        <v>94</v>
      </c>
      <c r="C43" s="3" t="n">
        <v>40</v>
      </c>
      <c r="D43" s="3" t="n">
        <v>40</v>
      </c>
      <c r="E43" s="4" t="n">
        <v>60</v>
      </c>
      <c r="F43" s="4" t="n">
        <v>62</v>
      </c>
      <c r="G43" s="4" t="n">
        <f aca="false">IF(AND(ISNUMBER(E43),ISNUMBER(F43)),F43-E43,"")</f>
        <v>2</v>
      </c>
      <c r="H43" s="5" t="n">
        <f aca="false">IF(AND(ISNUMBER(E43),ISNUMBER(F43)),IF(E43=0,"",(F43-E43)/E43*100),"")</f>
        <v>3.33333333333333</v>
      </c>
      <c r="I43" s="4" t="n">
        <f aca="false">IF(ISNUMBER(E43),C43*E43,"")</f>
        <v>2400</v>
      </c>
      <c r="J43" s="4" t="n">
        <f aca="false">IF(ISNUMBER(F43),D43*F43,"")</f>
        <v>2480</v>
      </c>
      <c r="K43" s="4" t="n">
        <f aca="false">IF(AND(ISNUMBER(I43),ISNUMBER(J43)),J43-I43,"")</f>
        <v>80</v>
      </c>
    </row>
    <row r="44" customFormat="false" ht="15" hidden="false" customHeight="false" outlineLevel="0" collapsed="false">
      <c r="A44" s="2" t="s">
        <v>95</v>
      </c>
      <c r="B44" s="2" t="s">
        <v>96</v>
      </c>
      <c r="C44" s="3" t="n">
        <v>8</v>
      </c>
      <c r="D44" s="3" t="n">
        <v>8</v>
      </c>
      <c r="E44" s="4" t="n">
        <v>60</v>
      </c>
      <c r="F44" s="4" t="n">
        <v>62</v>
      </c>
      <c r="G44" s="4" t="n">
        <f aca="false">IF(AND(ISNUMBER(E44),ISNUMBER(F44)),F44-E44,"")</f>
        <v>2</v>
      </c>
      <c r="H44" s="5" t="n">
        <f aca="false">IF(AND(ISNUMBER(E44),ISNUMBER(F44)),IF(E44=0,"",(F44-E44)/E44*100),"")</f>
        <v>3.33333333333333</v>
      </c>
      <c r="I44" s="4" t="n">
        <f aca="false">IF(ISNUMBER(E44),C44*E44,"")</f>
        <v>480</v>
      </c>
      <c r="J44" s="4" t="n">
        <f aca="false">IF(ISNUMBER(F44),D44*F44,"")</f>
        <v>496</v>
      </c>
      <c r="K44" s="4" t="n">
        <f aca="false">IF(AND(ISNUMBER(I44),ISNUMBER(J44)),J44-I44,"")</f>
        <v>16</v>
      </c>
    </row>
    <row r="45" customFormat="false" ht="15" hidden="false" customHeight="false" outlineLevel="0" collapsed="false">
      <c r="A45" s="2" t="s">
        <v>97</v>
      </c>
      <c r="B45" s="2" t="s">
        <v>98</v>
      </c>
      <c r="C45" s="3" t="n">
        <v>12</v>
      </c>
      <c r="D45" s="3" t="n">
        <v>12</v>
      </c>
      <c r="E45" s="4" t="n">
        <v>60</v>
      </c>
      <c r="F45" s="4" t="n">
        <v>62</v>
      </c>
      <c r="G45" s="4" t="n">
        <f aca="false">IF(AND(ISNUMBER(E45),ISNUMBER(F45)),F45-E45,"")</f>
        <v>2</v>
      </c>
      <c r="H45" s="5" t="n">
        <f aca="false">IF(AND(ISNUMBER(E45),ISNUMBER(F45)),IF(E45=0,"",(F45-E45)/E45*100),"")</f>
        <v>3.33333333333333</v>
      </c>
      <c r="I45" s="4" t="n">
        <f aca="false">IF(ISNUMBER(E45),C45*E45,"")</f>
        <v>720</v>
      </c>
      <c r="J45" s="4" t="n">
        <f aca="false">IF(ISNUMBER(F45),D45*F45,"")</f>
        <v>744</v>
      </c>
      <c r="K45" s="4" t="n">
        <f aca="false">IF(AND(ISNUMBER(I45),ISNUMBER(J45)),J45-I45,"")</f>
        <v>24</v>
      </c>
    </row>
    <row r="46" customFormat="false" ht="15" hidden="false" customHeight="false" outlineLevel="0" collapsed="false">
      <c r="A46" s="2" t="s">
        <v>99</v>
      </c>
      <c r="B46" s="2" t="s">
        <v>100</v>
      </c>
      <c r="C46" s="3" t="n">
        <v>8</v>
      </c>
      <c r="D46" s="3" t="n">
        <v>8</v>
      </c>
      <c r="E46" s="4" t="n">
        <v>60</v>
      </c>
      <c r="F46" s="4" t="n">
        <v>62</v>
      </c>
      <c r="G46" s="4" t="n">
        <f aca="false">IF(AND(ISNUMBER(E46),ISNUMBER(F46)),F46-E46,"")</f>
        <v>2</v>
      </c>
      <c r="H46" s="5" t="n">
        <f aca="false">IF(AND(ISNUMBER(E46),ISNUMBER(F46)),IF(E46=0,"",(F46-E46)/E46*100),"")</f>
        <v>3.33333333333333</v>
      </c>
      <c r="I46" s="4" t="n">
        <f aca="false">IF(ISNUMBER(E46),C46*E46,"")</f>
        <v>480</v>
      </c>
      <c r="J46" s="4" t="n">
        <f aca="false">IF(ISNUMBER(F46),D46*F46,"")</f>
        <v>496</v>
      </c>
      <c r="K46" s="4" t="n">
        <f aca="false">IF(AND(ISNUMBER(I46),ISNUMBER(J46)),J46-I46,"")</f>
        <v>16</v>
      </c>
    </row>
    <row r="47" customFormat="false" ht="15" hidden="false" customHeight="false" outlineLevel="0" collapsed="false">
      <c r="A47" s="2" t="s">
        <v>101</v>
      </c>
      <c r="B47" s="2" t="s">
        <v>102</v>
      </c>
      <c r="C47" s="3" t="n">
        <v>24</v>
      </c>
      <c r="D47" s="3" t="n">
        <v>24</v>
      </c>
      <c r="E47" s="4" t="n">
        <v>60</v>
      </c>
      <c r="F47" s="4" t="n">
        <v>62</v>
      </c>
      <c r="G47" s="4" t="n">
        <f aca="false">IF(AND(ISNUMBER(E47),ISNUMBER(F47)),F47-E47,"")</f>
        <v>2</v>
      </c>
      <c r="H47" s="5" t="n">
        <f aca="false">IF(AND(ISNUMBER(E47),ISNUMBER(F47)),IF(E47=0,"",(F47-E47)/E47*100),"")</f>
        <v>3.33333333333333</v>
      </c>
      <c r="I47" s="4" t="n">
        <f aca="false">IF(ISNUMBER(E47),C47*E47,"")</f>
        <v>1440</v>
      </c>
      <c r="J47" s="4" t="n">
        <f aca="false">IF(ISNUMBER(F47),D47*F47,"")</f>
        <v>1488</v>
      </c>
      <c r="K47" s="4" t="n">
        <f aca="false">IF(AND(ISNUMBER(I47),ISNUMBER(J47)),J47-I47,"")</f>
        <v>48</v>
      </c>
    </row>
    <row r="48" customFormat="false" ht="15" hidden="false" customHeight="false" outlineLevel="0" collapsed="false">
      <c r="A48" s="2" t="s">
        <v>103</v>
      </c>
      <c r="B48" s="2" t="s">
        <v>104</v>
      </c>
      <c r="C48" s="3" t="n">
        <v>20</v>
      </c>
      <c r="D48" s="3" t="n">
        <v>20</v>
      </c>
      <c r="E48" s="4" t="n">
        <v>60</v>
      </c>
      <c r="F48" s="4" t="n">
        <v>62</v>
      </c>
      <c r="G48" s="4" t="n">
        <f aca="false">IF(AND(ISNUMBER(E48),ISNUMBER(F48)),F48-E48,"")</f>
        <v>2</v>
      </c>
      <c r="H48" s="5" t="n">
        <f aca="false">IF(AND(ISNUMBER(E48),ISNUMBER(F48)),IF(E48=0,"",(F48-E48)/E48*100),"")</f>
        <v>3.33333333333333</v>
      </c>
      <c r="I48" s="4" t="n">
        <f aca="false">IF(ISNUMBER(E48),C48*E48,"")</f>
        <v>1200</v>
      </c>
      <c r="J48" s="4" t="n">
        <f aca="false">IF(ISNUMBER(F48),D48*F48,"")</f>
        <v>1240</v>
      </c>
      <c r="K48" s="4" t="n">
        <f aca="false">IF(AND(ISNUMBER(I48),ISNUMBER(J48)),J48-I48,"")</f>
        <v>40</v>
      </c>
    </row>
    <row r="49" customFormat="false" ht="15" hidden="false" customHeight="false" outlineLevel="0" collapsed="false">
      <c r="A49" s="2" t="s">
        <v>105</v>
      </c>
      <c r="B49" s="2" t="s">
        <v>106</v>
      </c>
      <c r="C49" s="3" t="n">
        <v>40</v>
      </c>
      <c r="D49" s="3" t="n">
        <v>40</v>
      </c>
      <c r="E49" s="4" t="n">
        <v>18</v>
      </c>
      <c r="F49" s="4" t="n">
        <v>18</v>
      </c>
      <c r="G49" s="4" t="n">
        <f aca="false">IF(AND(ISNUMBER(E49),ISNUMBER(F49)),F49-E49,"")</f>
        <v>0</v>
      </c>
      <c r="H49" s="5" t="n">
        <f aca="false">IF(AND(ISNUMBER(E49),ISNUMBER(F49)),IF(E49=0,"",(F49-E49)/E49*100),"")</f>
        <v>0</v>
      </c>
      <c r="I49" s="4" t="n">
        <f aca="false">IF(ISNUMBER(E49),C49*E49,"")</f>
        <v>720</v>
      </c>
      <c r="J49" s="4" t="n">
        <f aca="false">IF(ISNUMBER(F49),D49*F49,"")</f>
        <v>720</v>
      </c>
      <c r="K49" s="4" t="n">
        <f aca="false">IF(AND(ISNUMBER(I49),ISNUMBER(J49)),J49-I49,"")</f>
        <v>0</v>
      </c>
    </row>
    <row r="50" customFormat="false" ht="15" hidden="false" customHeight="false" outlineLevel="0" collapsed="false">
      <c r="A50" s="2" t="s">
        <v>107</v>
      </c>
      <c r="B50" s="2" t="s">
        <v>108</v>
      </c>
      <c r="C50" s="3" t="n">
        <v>200</v>
      </c>
      <c r="D50" s="3" t="n">
        <v>200</v>
      </c>
      <c r="E50" s="4" t="n">
        <v>5.5</v>
      </c>
      <c r="F50" s="4" t="n">
        <v>5.99</v>
      </c>
      <c r="G50" s="4" t="n">
        <f aca="false">IF(AND(ISNUMBER(E50),ISNUMBER(F50)),F50-E50,"")</f>
        <v>0.49</v>
      </c>
      <c r="H50" s="5" t="n">
        <f aca="false">IF(AND(ISNUMBER(E50),ISNUMBER(F50)),IF(E50=0,"",(F50-E50)/E50*100),"")</f>
        <v>8.90909090909091</v>
      </c>
      <c r="I50" s="4" t="n">
        <f aca="false">IF(ISNUMBER(E50),C50*E50,"")</f>
        <v>1100</v>
      </c>
      <c r="J50" s="4" t="n">
        <f aca="false">IF(ISNUMBER(F50),D50*F50,"")</f>
        <v>1198</v>
      </c>
      <c r="K50" s="4" t="n">
        <f aca="false">IF(AND(ISNUMBER(I50),ISNUMBER(J50)),J50-I50,"")</f>
        <v>98</v>
      </c>
    </row>
    <row r="51" customFormat="false" ht="15" hidden="false" customHeight="false" outlineLevel="0" collapsed="false">
      <c r="A51" s="2" t="s">
        <v>109</v>
      </c>
      <c r="B51" s="2" t="s">
        <v>110</v>
      </c>
      <c r="C51" s="3" t="n">
        <v>200</v>
      </c>
      <c r="D51" s="3" t="n">
        <v>200</v>
      </c>
      <c r="E51" s="4" t="n">
        <v>5.5</v>
      </c>
      <c r="F51" s="4" t="n">
        <v>5.99</v>
      </c>
      <c r="G51" s="4" t="n">
        <f aca="false">IF(AND(ISNUMBER(E51),ISNUMBER(F51)),F51-E51,"")</f>
        <v>0.49</v>
      </c>
      <c r="H51" s="5" t="n">
        <f aca="false">IF(AND(ISNUMBER(E51),ISNUMBER(F51)),IF(E51=0,"",(F51-E51)/E51*100),"")</f>
        <v>8.90909090909091</v>
      </c>
      <c r="I51" s="4" t="n">
        <f aca="false">IF(ISNUMBER(E51),C51*E51,"")</f>
        <v>1100</v>
      </c>
      <c r="J51" s="4" t="n">
        <f aca="false">IF(ISNUMBER(F51),D51*F51,"")</f>
        <v>1198</v>
      </c>
      <c r="K51" s="4" t="n">
        <f aca="false">IF(AND(ISNUMBER(I51),ISNUMBER(J51)),J51-I51,"")</f>
        <v>98</v>
      </c>
    </row>
    <row r="52" customFormat="false" ht="15" hidden="false" customHeight="false" outlineLevel="0" collapsed="false">
      <c r="A52" s="2" t="s">
        <v>111</v>
      </c>
      <c r="B52" s="2" t="s">
        <v>112</v>
      </c>
      <c r="C52" s="3" t="n">
        <v>9</v>
      </c>
      <c r="D52" s="3" t="n">
        <v>9</v>
      </c>
      <c r="E52" s="4" t="n">
        <v>66.12</v>
      </c>
      <c r="F52" s="4" t="n">
        <v>69</v>
      </c>
      <c r="G52" s="4" t="n">
        <f aca="false">IF(AND(ISNUMBER(E52),ISNUMBER(F52)),F52-E52,"")</f>
        <v>2.88</v>
      </c>
      <c r="H52" s="5" t="n">
        <f aca="false">IF(AND(ISNUMBER(E52),ISNUMBER(F52)),IF(E52=0,"",(F52-E52)/E52*100),"")</f>
        <v>4.3557168784029</v>
      </c>
      <c r="I52" s="4" t="n">
        <f aca="false">IF(ISNUMBER(E52),C52*E52,"")</f>
        <v>595.08</v>
      </c>
      <c r="J52" s="4" t="n">
        <f aca="false">IF(ISNUMBER(F52),D52*F52,"")</f>
        <v>621</v>
      </c>
      <c r="K52" s="4" t="n">
        <f aca="false">IF(AND(ISNUMBER(I52),ISNUMBER(J52)),J52-I52,"")</f>
        <v>25.92</v>
      </c>
    </row>
    <row r="53" customFormat="false" ht="15" hidden="false" customHeight="false" outlineLevel="0" collapsed="false">
      <c r="A53" s="2" t="s">
        <v>113</v>
      </c>
      <c r="B53" s="2" t="s">
        <v>114</v>
      </c>
      <c r="C53" s="3" t="n">
        <v>81</v>
      </c>
      <c r="D53" s="3" t="n">
        <v>81</v>
      </c>
      <c r="E53" s="4" t="n">
        <v>66.12</v>
      </c>
      <c r="F53" s="4" t="n">
        <v>69</v>
      </c>
      <c r="G53" s="4" t="n">
        <f aca="false">IF(AND(ISNUMBER(E53),ISNUMBER(F53)),F53-E53,"")</f>
        <v>2.88</v>
      </c>
      <c r="H53" s="5" t="n">
        <f aca="false">IF(AND(ISNUMBER(E53),ISNUMBER(F53)),IF(E53=0,"",(F53-E53)/E53*100),"")</f>
        <v>4.3557168784029</v>
      </c>
      <c r="I53" s="4" t="n">
        <f aca="false">IF(ISNUMBER(E53),C53*E53,"")</f>
        <v>5355.72</v>
      </c>
      <c r="J53" s="4" t="n">
        <f aca="false">IF(ISNUMBER(F53),D53*F53,"")</f>
        <v>5589</v>
      </c>
      <c r="K53" s="4" t="n">
        <f aca="false">IF(AND(ISNUMBER(I53),ISNUMBER(J53)),J53-I53,"")</f>
        <v>233.28</v>
      </c>
    </row>
    <row r="54" customFormat="false" ht="15" hidden="false" customHeight="false" outlineLevel="0" collapsed="false">
      <c r="A54" s="2" t="s">
        <v>115</v>
      </c>
      <c r="B54" s="2" t="s">
        <v>116</v>
      </c>
      <c r="C54" s="3" t="n">
        <v>360</v>
      </c>
      <c r="D54" s="3" t="n">
        <v>360</v>
      </c>
      <c r="E54" s="4" t="n">
        <v>66.12</v>
      </c>
      <c r="F54" s="4" t="n">
        <v>69</v>
      </c>
      <c r="G54" s="4" t="n">
        <f aca="false">IF(AND(ISNUMBER(E54),ISNUMBER(F54)),F54-E54,"")</f>
        <v>2.88</v>
      </c>
      <c r="H54" s="5" t="n">
        <f aca="false">IF(AND(ISNUMBER(E54),ISNUMBER(F54)),IF(E54=0,"",(F54-E54)/E54*100),"")</f>
        <v>4.3557168784029</v>
      </c>
      <c r="I54" s="4" t="n">
        <f aca="false">IF(ISNUMBER(E54),C54*E54,"")</f>
        <v>23803.2</v>
      </c>
      <c r="J54" s="4" t="n">
        <f aca="false">IF(ISNUMBER(F54),D54*F54,"")</f>
        <v>24840</v>
      </c>
      <c r="K54" s="4" t="n">
        <f aca="false">IF(AND(ISNUMBER(I54),ISNUMBER(J54)),J54-I54,"")</f>
        <v>1036.8</v>
      </c>
    </row>
    <row r="55" customFormat="false" ht="15" hidden="false" customHeight="false" outlineLevel="0" collapsed="false">
      <c r="A55" s="2" t="s">
        <v>117</v>
      </c>
      <c r="B55" s="2" t="s">
        <v>118</v>
      </c>
      <c r="C55" s="3" t="n">
        <v>840</v>
      </c>
      <c r="D55" s="3" t="n">
        <v>840</v>
      </c>
      <c r="E55" s="4" t="n">
        <v>66.12</v>
      </c>
      <c r="F55" s="4" t="n">
        <v>69</v>
      </c>
      <c r="G55" s="4" t="n">
        <f aca="false">IF(AND(ISNUMBER(E55),ISNUMBER(F55)),F55-E55,"")</f>
        <v>2.88</v>
      </c>
      <c r="H55" s="5" t="n">
        <f aca="false">IF(AND(ISNUMBER(E55),ISNUMBER(F55)),IF(E55=0,"",(F55-E55)/E55*100),"")</f>
        <v>4.3557168784029</v>
      </c>
      <c r="I55" s="4" t="n">
        <f aca="false">IF(ISNUMBER(E55),C55*E55,"")</f>
        <v>55540.8</v>
      </c>
      <c r="J55" s="4" t="n">
        <f aca="false">IF(ISNUMBER(F55),D55*F55,"")</f>
        <v>57960</v>
      </c>
      <c r="K55" s="4" t="n">
        <f aca="false">IF(AND(ISNUMBER(I55),ISNUMBER(J55)),J55-I55,"")</f>
        <v>2419.2</v>
      </c>
    </row>
    <row r="56" customFormat="false" ht="15" hidden="false" customHeight="false" outlineLevel="0" collapsed="false">
      <c r="A56" s="2" t="s">
        <v>119</v>
      </c>
      <c r="B56" s="2" t="s">
        <v>120</v>
      </c>
      <c r="C56" s="3" t="n">
        <v>300</v>
      </c>
      <c r="D56" s="3" t="n">
        <v>300</v>
      </c>
      <c r="E56" s="4" t="n">
        <v>66.12</v>
      </c>
      <c r="F56" s="4" t="n">
        <v>69</v>
      </c>
      <c r="G56" s="4" t="n">
        <f aca="false">IF(AND(ISNUMBER(E56),ISNUMBER(F56)),F56-E56,"")</f>
        <v>2.88</v>
      </c>
      <c r="H56" s="5" t="n">
        <f aca="false">IF(AND(ISNUMBER(E56),ISNUMBER(F56)),IF(E56=0,"",(F56-E56)/E56*100),"")</f>
        <v>4.3557168784029</v>
      </c>
      <c r="I56" s="4" t="n">
        <f aca="false">IF(ISNUMBER(E56),C56*E56,"")</f>
        <v>19836</v>
      </c>
      <c r="J56" s="4" t="n">
        <f aca="false">IF(ISNUMBER(F56),D56*F56,"")</f>
        <v>20700</v>
      </c>
      <c r="K56" s="4" t="n">
        <f aca="false">IF(AND(ISNUMBER(I56),ISNUMBER(J56)),J56-I56,"")</f>
        <v>864</v>
      </c>
    </row>
    <row r="57" customFormat="false" ht="15" hidden="false" customHeight="false" outlineLevel="0" collapsed="false">
      <c r="A57" s="2" t="s">
        <v>121</v>
      </c>
      <c r="B57" s="2" t="s">
        <v>122</v>
      </c>
      <c r="C57" s="3" t="n">
        <v>30</v>
      </c>
      <c r="D57" s="3" t="n">
        <v>30</v>
      </c>
      <c r="E57" s="4" t="n">
        <v>66.12</v>
      </c>
      <c r="F57" s="4" t="n">
        <v>69</v>
      </c>
      <c r="G57" s="4" t="n">
        <f aca="false">IF(AND(ISNUMBER(E57),ISNUMBER(F57)),F57-E57,"")</f>
        <v>2.88</v>
      </c>
      <c r="H57" s="5" t="n">
        <f aca="false">IF(AND(ISNUMBER(E57),ISNUMBER(F57)),IF(E57=0,"",(F57-E57)/E57*100),"")</f>
        <v>4.3557168784029</v>
      </c>
      <c r="I57" s="4" t="n">
        <f aca="false">IF(ISNUMBER(E57),C57*E57,"")</f>
        <v>1983.6</v>
      </c>
      <c r="J57" s="4" t="n">
        <f aca="false">IF(ISNUMBER(F57),D57*F57,"")</f>
        <v>2070</v>
      </c>
      <c r="K57" s="4" t="n">
        <f aca="false">IF(AND(ISNUMBER(I57),ISNUMBER(J57)),J57-I57,"")</f>
        <v>86.3999999999999</v>
      </c>
    </row>
    <row r="58" customFormat="false" ht="15" hidden="false" customHeight="false" outlineLevel="0" collapsed="false">
      <c r="A58" s="2" t="s">
        <v>123</v>
      </c>
      <c r="B58" s="2" t="s">
        <v>124</v>
      </c>
      <c r="C58" s="3" t="n">
        <v>36</v>
      </c>
      <c r="D58" s="3" t="n">
        <v>36</v>
      </c>
      <c r="E58" s="4" t="n">
        <v>66.12</v>
      </c>
      <c r="F58" s="4" t="n">
        <v>69</v>
      </c>
      <c r="G58" s="4" t="n">
        <f aca="false">IF(AND(ISNUMBER(E58),ISNUMBER(F58)),F58-E58,"")</f>
        <v>2.88</v>
      </c>
      <c r="H58" s="5" t="n">
        <f aca="false">IF(AND(ISNUMBER(E58),ISNUMBER(F58)),IF(E58=0,"",(F58-E58)/E58*100),"")</f>
        <v>4.3557168784029</v>
      </c>
      <c r="I58" s="4" t="n">
        <f aca="false">IF(ISNUMBER(E58),C58*E58,"")</f>
        <v>2380.32</v>
      </c>
      <c r="J58" s="4" t="n">
        <f aca="false">IF(ISNUMBER(F58),D58*F58,"")</f>
        <v>2484</v>
      </c>
      <c r="K58" s="4" t="n">
        <f aca="false">IF(AND(ISNUMBER(I58),ISNUMBER(J58)),J58-I58,"")</f>
        <v>103.68</v>
      </c>
    </row>
    <row r="59" customFormat="false" ht="15" hidden="false" customHeight="false" outlineLevel="0" collapsed="false">
      <c r="A59" s="2" t="s">
        <v>125</v>
      </c>
      <c r="B59" s="2" t="s">
        <v>126</v>
      </c>
      <c r="C59" s="3" t="n">
        <v>45</v>
      </c>
      <c r="D59" s="3" t="n">
        <v>45</v>
      </c>
      <c r="E59" s="4" t="n">
        <v>58.5</v>
      </c>
      <c r="F59" s="4" t="n">
        <v>58.5</v>
      </c>
      <c r="G59" s="4" t="n">
        <f aca="false">IF(AND(ISNUMBER(E59),ISNUMBER(F59)),F59-E59,"")</f>
        <v>0</v>
      </c>
      <c r="H59" s="5" t="n">
        <f aca="false">IF(AND(ISNUMBER(E59),ISNUMBER(F59)),IF(E59=0,"",(F59-E59)/E59*100),"")</f>
        <v>0</v>
      </c>
      <c r="I59" s="4" t="n">
        <f aca="false">IF(ISNUMBER(E59),C59*E59,"")</f>
        <v>2632.5</v>
      </c>
      <c r="J59" s="4" t="n">
        <f aca="false">IF(ISNUMBER(F59),D59*F59,"")</f>
        <v>2632.5</v>
      </c>
      <c r="K59" s="4" t="n">
        <f aca="false">IF(AND(ISNUMBER(I59),ISNUMBER(J59)),J59-I59,"")</f>
        <v>0</v>
      </c>
    </row>
    <row r="60" customFormat="false" ht="15" hidden="false" customHeight="false" outlineLevel="0" collapsed="false">
      <c r="A60" s="2" t="s">
        <v>127</v>
      </c>
      <c r="B60" s="2" t="s">
        <v>128</v>
      </c>
      <c r="C60" s="3" t="n">
        <v>45</v>
      </c>
      <c r="D60" s="3" t="n">
        <v>45</v>
      </c>
      <c r="E60" s="4" t="n">
        <v>58.5</v>
      </c>
      <c r="F60" s="4" t="n">
        <v>58.5</v>
      </c>
      <c r="G60" s="4" t="n">
        <f aca="false">IF(AND(ISNUMBER(E60),ISNUMBER(F60)),F60-E60,"")</f>
        <v>0</v>
      </c>
      <c r="H60" s="5" t="n">
        <f aca="false">IF(AND(ISNUMBER(E60),ISNUMBER(F60)),IF(E60=0,"",(F60-E60)/E60*100),"")</f>
        <v>0</v>
      </c>
      <c r="I60" s="4" t="n">
        <f aca="false">IF(ISNUMBER(E60),C60*E60,"")</f>
        <v>2632.5</v>
      </c>
      <c r="J60" s="4" t="n">
        <f aca="false">IF(ISNUMBER(F60),D60*F60,"")</f>
        <v>2632.5</v>
      </c>
      <c r="K60" s="4" t="n">
        <f aca="false">IF(AND(ISNUMBER(I60),ISNUMBER(J60)),J60-I60,"")</f>
        <v>0</v>
      </c>
    </row>
    <row r="61" customFormat="false" ht="15" hidden="false" customHeight="false" outlineLevel="0" collapsed="false">
      <c r="A61" s="2" t="s">
        <v>129</v>
      </c>
      <c r="B61" s="2" t="s">
        <v>130</v>
      </c>
      <c r="C61" s="3" t="n">
        <v>27</v>
      </c>
      <c r="D61" s="3" t="n">
        <v>27</v>
      </c>
      <c r="E61" s="4" t="n">
        <v>58.5</v>
      </c>
      <c r="F61" s="4" t="n">
        <v>58.5</v>
      </c>
      <c r="G61" s="4" t="n">
        <f aca="false">IF(AND(ISNUMBER(E61),ISNUMBER(F61)),F61-E61,"")</f>
        <v>0</v>
      </c>
      <c r="H61" s="5" t="n">
        <f aca="false">IF(AND(ISNUMBER(E61),ISNUMBER(F61)),IF(E61=0,"",(F61-E61)/E61*100),"")</f>
        <v>0</v>
      </c>
      <c r="I61" s="4" t="n">
        <f aca="false">IF(ISNUMBER(E61),C61*E61,"")</f>
        <v>1579.5</v>
      </c>
      <c r="J61" s="4" t="n">
        <f aca="false">IF(ISNUMBER(F61),D61*F61,"")</f>
        <v>1579.5</v>
      </c>
      <c r="K61" s="4" t="n">
        <f aca="false">IF(AND(ISNUMBER(I61),ISNUMBER(J61)),J61-I61,"")</f>
        <v>0</v>
      </c>
    </row>
    <row r="62" customFormat="false" ht="15" hidden="false" customHeight="false" outlineLevel="0" collapsed="false">
      <c r="A62" s="2" t="s">
        <v>131</v>
      </c>
      <c r="B62" s="2" t="s">
        <v>132</v>
      </c>
      <c r="C62" s="3" t="n">
        <v>480</v>
      </c>
      <c r="D62" s="3" t="n">
        <v>480</v>
      </c>
      <c r="E62" s="4" t="n">
        <v>25</v>
      </c>
      <c r="F62" s="4" t="n">
        <v>27</v>
      </c>
      <c r="G62" s="4" t="n">
        <f aca="false">IF(AND(ISNUMBER(E62),ISNUMBER(F62)),F62-E62,"")</f>
        <v>2</v>
      </c>
      <c r="H62" s="5" t="n">
        <f aca="false">IF(AND(ISNUMBER(E62),ISNUMBER(F62)),IF(E62=0,"",(F62-E62)/E62*100),"")</f>
        <v>8</v>
      </c>
      <c r="I62" s="4" t="n">
        <f aca="false">IF(ISNUMBER(E62),C62*E62,"")</f>
        <v>12000</v>
      </c>
      <c r="J62" s="4" t="n">
        <f aca="false">IF(ISNUMBER(F62),D62*F62,"")</f>
        <v>12960</v>
      </c>
      <c r="K62" s="4" t="n">
        <f aca="false">IF(AND(ISNUMBER(I62),ISNUMBER(J62)),J62-I62,"")</f>
        <v>960</v>
      </c>
    </row>
    <row r="63" customFormat="false" ht="15" hidden="false" customHeight="false" outlineLevel="0" collapsed="false">
      <c r="A63" s="2" t="s">
        <v>133</v>
      </c>
      <c r="B63" s="2" t="s">
        <v>134</v>
      </c>
      <c r="C63" s="3" t="n">
        <v>720</v>
      </c>
      <c r="D63" s="3" t="n">
        <v>720</v>
      </c>
      <c r="E63" s="4" t="n">
        <v>25</v>
      </c>
      <c r="F63" s="4" t="n">
        <v>27</v>
      </c>
      <c r="G63" s="4" t="n">
        <f aca="false">IF(AND(ISNUMBER(E63),ISNUMBER(F63)),F63-E63,"")</f>
        <v>2</v>
      </c>
      <c r="H63" s="5" t="n">
        <f aca="false">IF(AND(ISNUMBER(E63),ISNUMBER(F63)),IF(E63=0,"",(F63-E63)/E63*100),"")</f>
        <v>8</v>
      </c>
      <c r="I63" s="4" t="n">
        <f aca="false">IF(ISNUMBER(E63),C63*E63,"")</f>
        <v>18000</v>
      </c>
      <c r="J63" s="4" t="n">
        <f aca="false">IF(ISNUMBER(F63),D63*F63,"")</f>
        <v>19440</v>
      </c>
      <c r="K63" s="4" t="n">
        <f aca="false">IF(AND(ISNUMBER(I63),ISNUMBER(J63)),J63-I63,"")</f>
        <v>1440</v>
      </c>
    </row>
    <row r="64" customFormat="false" ht="15" hidden="false" customHeight="false" outlineLevel="0" collapsed="false">
      <c r="A64" s="2" t="s">
        <v>135</v>
      </c>
      <c r="B64" s="2" t="s">
        <v>136</v>
      </c>
      <c r="C64" s="3" t="n">
        <v>80</v>
      </c>
      <c r="D64" s="3" t="n">
        <v>80</v>
      </c>
      <c r="E64" s="4" t="n">
        <v>25</v>
      </c>
      <c r="F64" s="4" t="n">
        <v>27</v>
      </c>
      <c r="G64" s="4" t="n">
        <f aca="false">IF(AND(ISNUMBER(E64),ISNUMBER(F64)),F64-E64,"")</f>
        <v>2</v>
      </c>
      <c r="H64" s="5" t="n">
        <f aca="false">IF(AND(ISNUMBER(E64),ISNUMBER(F64)),IF(E64=0,"",(F64-E64)/E64*100),"")</f>
        <v>8</v>
      </c>
      <c r="I64" s="4" t="n">
        <f aca="false">IF(ISNUMBER(E64),C64*E64,"")</f>
        <v>2000</v>
      </c>
      <c r="J64" s="4" t="n">
        <f aca="false">IF(ISNUMBER(F64),D64*F64,"")</f>
        <v>2160</v>
      </c>
      <c r="K64" s="4" t="n">
        <f aca="false">IF(AND(ISNUMBER(I64),ISNUMBER(J64)),J64-I64,"")</f>
        <v>160</v>
      </c>
    </row>
    <row r="65" customFormat="false" ht="15" hidden="false" customHeight="false" outlineLevel="0" collapsed="false">
      <c r="A65" s="2" t="s">
        <v>137</v>
      </c>
      <c r="B65" s="2" t="s">
        <v>138</v>
      </c>
      <c r="C65" s="3" t="n">
        <v>1080</v>
      </c>
      <c r="D65" s="3" t="n">
        <v>1080</v>
      </c>
      <c r="E65" s="4" t="n">
        <v>25</v>
      </c>
      <c r="F65" s="4" t="n">
        <v>27</v>
      </c>
      <c r="G65" s="4" t="n">
        <f aca="false">IF(AND(ISNUMBER(E65),ISNUMBER(F65)),F65-E65,"")</f>
        <v>2</v>
      </c>
      <c r="H65" s="5" t="n">
        <f aca="false">IF(AND(ISNUMBER(E65),ISNUMBER(F65)),IF(E65=0,"",(F65-E65)/E65*100),"")</f>
        <v>8</v>
      </c>
      <c r="I65" s="4" t="n">
        <f aca="false">IF(ISNUMBER(E65),C65*E65,"")</f>
        <v>27000</v>
      </c>
      <c r="J65" s="4" t="n">
        <f aca="false">IF(ISNUMBER(F65),D65*F65,"")</f>
        <v>29160</v>
      </c>
      <c r="K65" s="4" t="n">
        <f aca="false">IF(AND(ISNUMBER(I65),ISNUMBER(J65)),J65-I65,"")</f>
        <v>2160</v>
      </c>
    </row>
    <row r="66" customFormat="false" ht="15" hidden="false" customHeight="false" outlineLevel="0" collapsed="false">
      <c r="A66" s="2" t="s">
        <v>139</v>
      </c>
      <c r="B66" s="2" t="s">
        <v>140</v>
      </c>
      <c r="C66" s="3" t="n">
        <v>800</v>
      </c>
      <c r="D66" s="3" t="n">
        <v>800</v>
      </c>
      <c r="E66" s="4" t="n">
        <v>0.89</v>
      </c>
      <c r="F66" s="4" t="n">
        <v>0.89</v>
      </c>
      <c r="G66" s="4" t="n">
        <f aca="false">IF(AND(ISNUMBER(E66),ISNUMBER(F66)),F66-E66,"")</f>
        <v>0</v>
      </c>
      <c r="H66" s="5" t="n">
        <f aca="false">IF(AND(ISNUMBER(E66),ISNUMBER(F66)),IF(E66=0,"",(F66-E66)/E66*100),"")</f>
        <v>0</v>
      </c>
      <c r="I66" s="4" t="n">
        <f aca="false">IF(ISNUMBER(E66),C66*E66,"")</f>
        <v>712</v>
      </c>
      <c r="J66" s="4" t="n">
        <f aca="false">IF(ISNUMBER(F66),D66*F66,"")</f>
        <v>712</v>
      </c>
      <c r="K66" s="4" t="n">
        <f aca="false">IF(AND(ISNUMBER(I66),ISNUMBER(J66)),J66-I66,"")</f>
        <v>0</v>
      </c>
    </row>
    <row r="67" customFormat="false" ht="15" hidden="false" customHeight="false" outlineLevel="0" collapsed="false">
      <c r="A67" s="2" t="s">
        <v>141</v>
      </c>
      <c r="B67" s="2" t="s">
        <v>142</v>
      </c>
      <c r="C67" s="3" t="n">
        <v>210</v>
      </c>
      <c r="D67" s="3" t="n">
        <v>210</v>
      </c>
      <c r="E67" s="4" t="n">
        <v>13.5</v>
      </c>
      <c r="F67" s="4" t="n">
        <v>13.5</v>
      </c>
      <c r="G67" s="4" t="n">
        <f aca="false">IF(AND(ISNUMBER(E67),ISNUMBER(F67)),F67-E67,"")</f>
        <v>0</v>
      </c>
      <c r="H67" s="5" t="n">
        <f aca="false">IF(AND(ISNUMBER(E67),ISNUMBER(F67)),IF(E67=0,"",(F67-E67)/E67*100),"")</f>
        <v>0</v>
      </c>
      <c r="I67" s="4" t="n">
        <f aca="false">IF(ISNUMBER(E67),C67*E67,"")</f>
        <v>2835</v>
      </c>
      <c r="J67" s="4" t="n">
        <f aca="false">IF(ISNUMBER(F67),D67*F67,"")</f>
        <v>2835</v>
      </c>
      <c r="K67" s="4" t="n">
        <f aca="false">IF(AND(ISNUMBER(I67),ISNUMBER(J67)),J67-I67,"")</f>
        <v>0</v>
      </c>
    </row>
    <row r="68" customFormat="false" ht="15" hidden="false" customHeight="false" outlineLevel="0" collapsed="false">
      <c r="A68" s="2" t="s">
        <v>143</v>
      </c>
      <c r="B68" s="2" t="s">
        <v>144</v>
      </c>
      <c r="C68" s="3" t="n">
        <v>40</v>
      </c>
      <c r="D68" s="3" t="n">
        <v>40</v>
      </c>
      <c r="E68" s="4" t="n">
        <v>7.5</v>
      </c>
      <c r="F68" s="4" t="n">
        <v>7.5</v>
      </c>
      <c r="G68" s="4" t="n">
        <f aca="false">IF(AND(ISNUMBER(E68),ISNUMBER(F68)),F68-E68,"")</f>
        <v>0</v>
      </c>
      <c r="H68" s="5" t="n">
        <f aca="false">IF(AND(ISNUMBER(E68),ISNUMBER(F68)),IF(E68=0,"",(F68-E68)/E68*100),"")</f>
        <v>0</v>
      </c>
      <c r="I68" s="4" t="n">
        <f aca="false">IF(ISNUMBER(E68),C68*E68,"")</f>
        <v>300</v>
      </c>
      <c r="J68" s="4" t="n">
        <f aca="false">IF(ISNUMBER(F68),D68*F68,"")</f>
        <v>300</v>
      </c>
      <c r="K68" s="4" t="n">
        <f aca="false">IF(AND(ISNUMBER(I68),ISNUMBER(J68)),J68-I68,"")</f>
        <v>0</v>
      </c>
    </row>
    <row r="69" customFormat="false" ht="15" hidden="false" customHeight="false" outlineLevel="0" collapsed="false">
      <c r="A69" s="2" t="s">
        <v>145</v>
      </c>
      <c r="B69" s="2" t="s">
        <v>146</v>
      </c>
      <c r="C69" s="3" t="n">
        <v>900</v>
      </c>
      <c r="D69" s="3" t="n">
        <v>900</v>
      </c>
      <c r="E69" s="4" t="n">
        <v>38.99</v>
      </c>
      <c r="F69" s="4" t="n">
        <v>38.99</v>
      </c>
      <c r="G69" s="4" t="n">
        <f aca="false">IF(AND(ISNUMBER(E69),ISNUMBER(F69)),F69-E69,"")</f>
        <v>0</v>
      </c>
      <c r="H69" s="5" t="n">
        <f aca="false">IF(AND(ISNUMBER(E69),ISNUMBER(F69)),IF(E69=0,"",(F69-E69)/E69*100),"")</f>
        <v>0</v>
      </c>
      <c r="I69" s="4" t="n">
        <f aca="false">IF(ISNUMBER(E69),C69*E69,"")</f>
        <v>35091</v>
      </c>
      <c r="J69" s="4" t="n">
        <f aca="false">IF(ISNUMBER(F69),D69*F69,"")</f>
        <v>35091</v>
      </c>
      <c r="K69" s="4" t="n">
        <f aca="false">IF(AND(ISNUMBER(I69),ISNUMBER(J69)),J69-I69,"")</f>
        <v>0</v>
      </c>
    </row>
    <row r="70" customFormat="false" ht="15" hidden="false" customHeight="false" outlineLevel="0" collapsed="false">
      <c r="A70" s="2" t="s">
        <v>147</v>
      </c>
      <c r="B70" s="2" t="s">
        <v>148</v>
      </c>
      <c r="C70" s="3" t="n">
        <v>120</v>
      </c>
      <c r="D70" s="3" t="n">
        <v>120</v>
      </c>
      <c r="E70" s="4" t="n">
        <v>30</v>
      </c>
      <c r="F70" s="4" t="n">
        <v>30</v>
      </c>
      <c r="G70" s="4" t="n">
        <f aca="false">IF(AND(ISNUMBER(E70),ISNUMBER(F70)),F70-E70,"")</f>
        <v>0</v>
      </c>
      <c r="H70" s="5" t="n">
        <f aca="false">IF(AND(ISNUMBER(E70),ISNUMBER(F70)),IF(E70=0,"",(F70-E70)/E70*100),"")</f>
        <v>0</v>
      </c>
      <c r="I70" s="4" t="n">
        <f aca="false">IF(ISNUMBER(E70),C70*E70,"")</f>
        <v>3600</v>
      </c>
      <c r="J70" s="4" t="n">
        <f aca="false">IF(ISNUMBER(F70),D70*F70,"")</f>
        <v>3600</v>
      </c>
      <c r="K70" s="4" t="n">
        <f aca="false">IF(AND(ISNUMBER(I70),ISNUMBER(J70)),J70-I70,"")</f>
        <v>0</v>
      </c>
    </row>
    <row r="71" customFormat="false" ht="15" hidden="false" customHeight="false" outlineLevel="0" collapsed="false">
      <c r="A71" s="2" t="s">
        <v>149</v>
      </c>
      <c r="B71" s="2" t="s">
        <v>150</v>
      </c>
      <c r="C71" s="3" t="n">
        <v>840</v>
      </c>
      <c r="D71" s="3" t="n">
        <v>840</v>
      </c>
      <c r="E71" s="4" t="n">
        <v>37.1</v>
      </c>
      <c r="F71" s="4" t="n">
        <v>37.1</v>
      </c>
      <c r="G71" s="4" t="n">
        <f aca="false">IF(AND(ISNUMBER(E71),ISNUMBER(F71)),F71-E71,"")</f>
        <v>0</v>
      </c>
      <c r="H71" s="5" t="n">
        <f aca="false">IF(AND(ISNUMBER(E71),ISNUMBER(F71)),IF(E71=0,"",(F71-E71)/E71*100),"")</f>
        <v>0</v>
      </c>
      <c r="I71" s="4" t="n">
        <f aca="false">IF(ISNUMBER(E71),C71*E71,"")</f>
        <v>31164</v>
      </c>
      <c r="J71" s="4" t="n">
        <f aca="false">IF(ISNUMBER(F71),D71*F71,"")</f>
        <v>31164</v>
      </c>
      <c r="K71" s="4" t="n">
        <f aca="false">IF(AND(ISNUMBER(I71),ISNUMBER(J71)),J71-I71,"")</f>
        <v>0</v>
      </c>
    </row>
    <row r="72" customFormat="false" ht="15" hidden="false" customHeight="false" outlineLevel="0" collapsed="false">
      <c r="A72" s="2" t="s">
        <v>151</v>
      </c>
      <c r="B72" s="2" t="s">
        <v>152</v>
      </c>
      <c r="C72" s="3" t="n">
        <v>2400</v>
      </c>
      <c r="D72" s="3" t="n">
        <v>2400</v>
      </c>
      <c r="E72" s="4" t="n">
        <v>14.8</v>
      </c>
      <c r="F72" s="4" t="n">
        <v>16.4</v>
      </c>
      <c r="G72" s="4" t="n">
        <f aca="false">IF(AND(ISNUMBER(E72),ISNUMBER(F72)),F72-E72,"")</f>
        <v>1.6</v>
      </c>
      <c r="H72" s="5" t="n">
        <f aca="false">IF(AND(ISNUMBER(E72),ISNUMBER(F72)),IF(E72=0,"",(F72-E72)/E72*100),"")</f>
        <v>10.8108108108108</v>
      </c>
      <c r="I72" s="4" t="n">
        <f aca="false">IF(ISNUMBER(E72),C72*E72,"")</f>
        <v>35520</v>
      </c>
      <c r="J72" s="4" t="n">
        <f aca="false">IF(ISNUMBER(F72),D72*F72,"")</f>
        <v>39360</v>
      </c>
      <c r="K72" s="4" t="n">
        <f aca="false">IF(AND(ISNUMBER(I72),ISNUMBER(J72)),J72-I72,"")</f>
        <v>3840</v>
      </c>
    </row>
    <row r="73" customFormat="false" ht="15" hidden="false" customHeight="false" outlineLevel="0" collapsed="false">
      <c r="A73" s="2" t="s">
        <v>153</v>
      </c>
      <c r="B73" s="2" t="s">
        <v>154</v>
      </c>
      <c r="C73" s="3" t="n">
        <v>3000</v>
      </c>
      <c r="D73" s="3" t="n">
        <v>3000</v>
      </c>
      <c r="E73" s="4" t="n">
        <v>14.19</v>
      </c>
      <c r="F73" s="4" t="n">
        <v>16.4</v>
      </c>
      <c r="G73" s="4" t="n">
        <f aca="false">IF(AND(ISNUMBER(E73),ISNUMBER(F73)),F73-E73,"")</f>
        <v>2.21</v>
      </c>
      <c r="H73" s="5" t="n">
        <f aca="false">IF(AND(ISNUMBER(E73),ISNUMBER(F73)),IF(E73=0,"",(F73-E73)/E73*100),"")</f>
        <v>15.5743481324877</v>
      </c>
      <c r="I73" s="4" t="n">
        <f aca="false">IF(ISNUMBER(E73),C73*E73,"")</f>
        <v>42570</v>
      </c>
      <c r="J73" s="4" t="n">
        <f aca="false">IF(ISNUMBER(F73),D73*F73,"")</f>
        <v>49200</v>
      </c>
      <c r="K73" s="4" t="n">
        <f aca="false">IF(AND(ISNUMBER(I73),ISNUMBER(J73)),J73-I73,"")</f>
        <v>6629.99999999999</v>
      </c>
    </row>
    <row r="74" customFormat="false" ht="15" hidden="false" customHeight="false" outlineLevel="0" collapsed="false">
      <c r="A74" s="2" t="s">
        <v>155</v>
      </c>
      <c r="B74" s="2" t="s">
        <v>156</v>
      </c>
      <c r="C74" s="3" t="n">
        <v>80</v>
      </c>
      <c r="D74" s="3" t="n">
        <v>80</v>
      </c>
      <c r="E74" s="4" t="n">
        <v>21.1</v>
      </c>
      <c r="F74" s="4" t="n">
        <v>22</v>
      </c>
      <c r="G74" s="4" t="n">
        <f aca="false">IF(AND(ISNUMBER(E74),ISNUMBER(F74)),F74-E74,"")</f>
        <v>0.899999999999999</v>
      </c>
      <c r="H74" s="5" t="n">
        <f aca="false">IF(AND(ISNUMBER(E74),ISNUMBER(F74)),IF(E74=0,"",(F74-E74)/E74*100),"")</f>
        <v>4.26540284360189</v>
      </c>
      <c r="I74" s="4" t="n">
        <f aca="false">IF(ISNUMBER(E74),C74*E74,"")</f>
        <v>1688</v>
      </c>
      <c r="J74" s="4" t="n">
        <f aca="false">IF(ISNUMBER(F74),D74*F74,"")</f>
        <v>1760</v>
      </c>
      <c r="K74" s="4" t="n">
        <f aca="false">IF(AND(ISNUMBER(I74),ISNUMBER(J74)),J74-I74,"")</f>
        <v>72</v>
      </c>
    </row>
    <row r="75" customFormat="false" ht="15" hidden="false" customHeight="false" outlineLevel="0" collapsed="false">
      <c r="A75" s="2" t="s">
        <v>157</v>
      </c>
      <c r="B75" s="2" t="s">
        <v>158</v>
      </c>
      <c r="C75" s="3" t="n">
        <v>160</v>
      </c>
      <c r="D75" s="3" t="n">
        <v>160</v>
      </c>
      <c r="E75" s="4" t="n">
        <v>14.5</v>
      </c>
      <c r="F75" s="4" t="n">
        <v>15</v>
      </c>
      <c r="G75" s="4" t="n">
        <f aca="false">IF(AND(ISNUMBER(E75),ISNUMBER(F75)),F75-E75,"")</f>
        <v>0.5</v>
      </c>
      <c r="H75" s="5" t="n">
        <f aca="false">IF(AND(ISNUMBER(E75),ISNUMBER(F75)),IF(E75=0,"",(F75-E75)/E75*100),"")</f>
        <v>3.44827586206897</v>
      </c>
      <c r="I75" s="4" t="n">
        <f aca="false">IF(ISNUMBER(E75),C75*E75,"")</f>
        <v>2320</v>
      </c>
      <c r="J75" s="4" t="n">
        <f aca="false">IF(ISNUMBER(F75),D75*F75,"")</f>
        <v>2400</v>
      </c>
      <c r="K75" s="4" t="n">
        <f aca="false">IF(AND(ISNUMBER(I75),ISNUMBER(J75)),J75-I75,"")</f>
        <v>80</v>
      </c>
    </row>
    <row r="76" customFormat="false" ht="15" hidden="false" customHeight="false" outlineLevel="0" collapsed="false">
      <c r="A76" s="2" t="s">
        <v>159</v>
      </c>
      <c r="B76" s="2" t="s">
        <v>160</v>
      </c>
      <c r="C76" s="3" t="n">
        <v>200</v>
      </c>
      <c r="D76" s="3" t="n">
        <v>200</v>
      </c>
      <c r="E76" s="4" t="n">
        <v>22.2</v>
      </c>
      <c r="F76" s="4" t="n">
        <v>22.99</v>
      </c>
      <c r="G76" s="4" t="n">
        <f aca="false">IF(AND(ISNUMBER(E76),ISNUMBER(F76)),F76-E76,"")</f>
        <v>0.789999999999999</v>
      </c>
      <c r="H76" s="5" t="n">
        <f aca="false">IF(AND(ISNUMBER(E76),ISNUMBER(F76)),IF(E76=0,"",(F76-E76)/E76*100),"")</f>
        <v>3.55855855855855</v>
      </c>
      <c r="I76" s="4" t="n">
        <f aca="false">IF(ISNUMBER(E76),C76*E76,"")</f>
        <v>4440</v>
      </c>
      <c r="J76" s="4" t="n">
        <f aca="false">IF(ISNUMBER(F76),D76*F76,"")</f>
        <v>4598</v>
      </c>
      <c r="K76" s="4" t="n">
        <f aca="false">IF(AND(ISNUMBER(I76),ISNUMBER(J76)),J76-I76,"")</f>
        <v>158</v>
      </c>
    </row>
    <row r="77" customFormat="false" ht="15" hidden="false" customHeight="false" outlineLevel="0" collapsed="false">
      <c r="A77" s="2" t="s">
        <v>161</v>
      </c>
      <c r="B77" s="2" t="s">
        <v>162</v>
      </c>
      <c r="C77" s="3" t="n">
        <v>200</v>
      </c>
      <c r="D77" s="3" t="n">
        <v>200</v>
      </c>
      <c r="E77" s="4" t="n">
        <v>15</v>
      </c>
      <c r="F77" s="4" t="n">
        <v>15</v>
      </c>
      <c r="G77" s="4" t="n">
        <f aca="false">IF(AND(ISNUMBER(E77),ISNUMBER(F77)),F77-E77,"")</f>
        <v>0</v>
      </c>
      <c r="H77" s="5" t="n">
        <f aca="false">IF(AND(ISNUMBER(E77),ISNUMBER(F77)),IF(E77=0,"",(F77-E77)/E77*100),"")</f>
        <v>0</v>
      </c>
      <c r="I77" s="4" t="n">
        <f aca="false">IF(ISNUMBER(E77),C77*E77,"")</f>
        <v>3000</v>
      </c>
      <c r="J77" s="4" t="n">
        <f aca="false">IF(ISNUMBER(F77),D77*F77,"")</f>
        <v>3000</v>
      </c>
      <c r="K77" s="4" t="n">
        <f aca="false">IF(AND(ISNUMBER(I77),ISNUMBER(J77)),J77-I77,"")</f>
        <v>0</v>
      </c>
    </row>
    <row r="78" customFormat="false" ht="15" hidden="false" customHeight="false" outlineLevel="0" collapsed="false">
      <c r="A78" s="6" t="s">
        <v>163</v>
      </c>
      <c r="B78" s="6"/>
      <c r="C78" s="7" t="n">
        <f aca="false">SUM(C2:C77)</f>
        <v>24024</v>
      </c>
      <c r="D78" s="7" t="n">
        <f aca="false">SUM(D2:D77)</f>
        <v>24024</v>
      </c>
      <c r="E78" s="8"/>
      <c r="F78" s="8"/>
      <c r="G78" s="8"/>
      <c r="H78" s="9" t="n">
        <f aca="false">IF(I78=0,"",(J78-I78)/I78*100)</f>
        <v>5.53465623133429</v>
      </c>
      <c r="I78" s="8" t="n">
        <f aca="false">SUM(I2:I77)</f>
        <v>564638.14</v>
      </c>
      <c r="J78" s="8" t="n">
        <f aca="false">SUM(J2:J77)</f>
        <v>595888.92</v>
      </c>
      <c r="K78" s="8" t="n">
        <f aca="false">SUM(K2:K77)</f>
        <v>31250.78</v>
      </c>
    </row>
    <row r="80" customFormat="false" ht="15" hidden="false" customHeight="false" outlineLevel="0" collapsed="false">
      <c r="A80" s="10" t="s">
        <v>164</v>
      </c>
    </row>
  </sheetData>
  <autoFilter ref="A1:K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2026-10-13T23:53:22Z</dcterms:created>
  <dc:creator>openpyxl</dc:creator>
  <dc:description/>
  <dc:language>en-US</dc:language>
  <cp:lastModifiedBy/>
  <dcterms:modified xsi:type="dcterms:W3CDTF">2026-10-13T23:53:22Z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